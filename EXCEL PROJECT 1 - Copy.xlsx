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4cbdff6459bf17a/Desktop/"/>
    </mc:Choice>
  </mc:AlternateContent>
  <xr:revisionPtr revIDLastSave="21" documentId="8_{FBB58B83-5B40-4D79-A385-F18FF1BD62F1}" xr6:coauthVersionLast="47" xr6:coauthVersionMax="47" xr10:uidLastSave="{C214C608-D97A-4E42-AC52-D1E9BA5DBACE}"/>
  <bookViews>
    <workbookView xWindow="-108" yWindow="-108" windowWidth="23256" windowHeight="12456" activeTab="2" xr2:uid="{A8826520-B95A-4200-B678-3BDA25A1DF1D}"/>
  </bookViews>
  <sheets>
    <sheet name="tbl_supply chain" sheetId="1" r:id="rId1"/>
    <sheet name="raw data" sheetId="2" r:id="rId2"/>
    <sheet name="dashborad" sheetId="3" r:id="rId3"/>
    <sheet name="pivot table" sheetId="4" r:id="rId4"/>
  </sheets>
  <definedNames>
    <definedName name="Slicer_Customer_demographics">#N/A</definedName>
    <definedName name="Slicer_Inspection_results">#N/A</definedName>
    <definedName name="Slicer_Location">#N/A</definedName>
    <definedName name="Slicer_Product_type">#N/A</definedName>
  </definedNames>
  <calcPr calcId="0"/>
  <pivotCaches>
    <pivotCache cacheId="1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C2" i="1" l="1" a="1"/>
  <c r="AC3" i="1" a="1"/>
  <c r="AC4" i="1" a="1"/>
  <c r="AC5" i="1" a="1"/>
  <c r="AC6" i="1" a="1"/>
  <c r="AC7" i="1" a="1"/>
  <c r="AC8" i="1" a="1"/>
  <c r="AC9" i="1" a="1"/>
  <c r="AC10" i="1" a="1"/>
  <c r="AC11" i="1" a="1"/>
  <c r="AC12" i="1" a="1"/>
  <c r="AC13" i="1" a="1"/>
  <c r="AC14" i="1" a="1"/>
  <c r="AC15" i="1" a="1"/>
  <c r="AC16" i="1" a="1"/>
  <c r="AC17" i="1" a="1"/>
  <c r="AC18" i="1" a="1"/>
  <c r="AC19" i="1" a="1"/>
  <c r="AC20" i="1" a="1"/>
  <c r="AC21" i="1" a="1"/>
  <c r="AC22" i="1" a="1"/>
  <c r="AC23" i="1" a="1"/>
  <c r="AC24" i="1" a="1"/>
  <c r="AC25" i="1" a="1"/>
  <c r="AC26" i="1" a="1"/>
  <c r="AC27" i="1" a="1"/>
  <c r="AC28" i="1" a="1"/>
  <c r="AC29" i="1" a="1"/>
  <c r="AC30" i="1" a="1"/>
  <c r="AC31" i="1" a="1"/>
  <c r="AC32" i="1" a="1"/>
  <c r="AC33" i="1" a="1"/>
  <c r="AC34" i="1" a="1"/>
  <c r="AC35" i="1" a="1"/>
  <c r="AC36" i="1" a="1"/>
  <c r="AC37" i="1" a="1"/>
  <c r="AC38" i="1" a="1"/>
  <c r="AC39" i="1" a="1"/>
  <c r="AC40" i="1" a="1"/>
  <c r="AC41" i="1" a="1"/>
  <c r="AC42" i="1" a="1"/>
  <c r="AC43" i="1" a="1"/>
  <c r="AC44" i="1" a="1"/>
  <c r="AC45" i="1" a="1"/>
  <c r="AC46" i="1" a="1"/>
  <c r="AC47" i="1" a="1"/>
  <c r="AC48" i="1" a="1"/>
  <c r="AC49" i="1" a="1"/>
  <c r="AC50" i="1" a="1"/>
  <c r="AC51" i="1" a="1"/>
  <c r="AC52" i="1" a="1"/>
  <c r="AC53" i="1" a="1"/>
  <c r="AC54" i="1" a="1"/>
  <c r="AC55" i="1" a="1"/>
  <c r="AC56" i="1" a="1"/>
  <c r="AC57" i="1" a="1"/>
  <c r="AC58" i="1" a="1"/>
  <c r="AC59" i="1" a="1"/>
  <c r="AC60" i="1" a="1"/>
  <c r="AC61" i="1" a="1"/>
  <c r="AC62" i="1" a="1"/>
  <c r="AC63" i="1" a="1"/>
  <c r="AC64" i="1" a="1"/>
  <c r="AC65" i="1" a="1"/>
  <c r="AC66" i="1" a="1"/>
  <c r="AC67" i="1" a="1"/>
  <c r="AC68" i="1" a="1"/>
  <c r="AC69" i="1" a="1"/>
  <c r="AC70" i="1" a="1"/>
  <c r="AC71" i="1" a="1"/>
  <c r="AC72" i="1" a="1"/>
  <c r="AC73" i="1" a="1"/>
  <c r="AC74" i="1" a="1"/>
  <c r="AC75" i="1" a="1"/>
  <c r="AC76" i="1" a="1"/>
  <c r="AC77" i="1" a="1"/>
  <c r="AC78" i="1" a="1"/>
  <c r="AC79" i="1" a="1"/>
  <c r="AC80" i="1" a="1"/>
  <c r="AC81" i="1" a="1"/>
  <c r="AC82" i="1" a="1"/>
  <c r="AC83" i="1" a="1"/>
  <c r="AC84" i="1" a="1"/>
  <c r="AC85" i="1" a="1"/>
  <c r="AC86" i="1" a="1"/>
  <c r="AC87" i="1" a="1"/>
  <c r="AC88" i="1" a="1"/>
  <c r="AC89" i="1" a="1"/>
  <c r="AC90" i="1" a="1"/>
  <c r="AC91" i="1" a="1"/>
  <c r="AC92" i="1" a="1"/>
  <c r="AC93" i="1" a="1"/>
  <c r="AC94" i="1" a="1"/>
  <c r="AC95" i="1" a="1"/>
  <c r="AC96" i="1" a="1"/>
  <c r="AC97" i="1" a="1"/>
  <c r="AC98" i="1" a="1"/>
  <c r="AC99" i="1" a="1"/>
  <c r="AC100" i="1" a="1"/>
  <c r="AC101" i="1" a="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Z2" i="1" l="1"/>
  <c r="AA2" i="1"/>
  <c r="Z3" i="1"/>
  <c r="AA3" i="1"/>
  <c r="Z4" i="1"/>
  <c r="AA4" i="1"/>
  <c r="Z5" i="1"/>
  <c r="AA5" i="1"/>
  <c r="Z6" i="1"/>
  <c r="AA6" i="1"/>
  <c r="Z7" i="1"/>
  <c r="AA7" i="1"/>
  <c r="AA8" i="1"/>
  <c r="Z8" i="1"/>
  <c r="AA9" i="1"/>
  <c r="Z9" i="1"/>
  <c r="Z10" i="1"/>
  <c r="AA10" i="1"/>
  <c r="AA11" i="1"/>
  <c r="Z11" i="1"/>
  <c r="AA12" i="1"/>
  <c r="Z12" i="1"/>
  <c r="AA13" i="1"/>
  <c r="Z13" i="1"/>
  <c r="AA14" i="1"/>
  <c r="Z14" i="1"/>
  <c r="AA15" i="1"/>
  <c r="Z15" i="1"/>
  <c r="AA16" i="1"/>
  <c r="Z16" i="1"/>
  <c r="Z17" i="1"/>
  <c r="AA17" i="1"/>
  <c r="Z18" i="1"/>
  <c r="AA18" i="1"/>
  <c r="AA19" i="1"/>
  <c r="Z19" i="1"/>
  <c r="AA20" i="1"/>
  <c r="Z20" i="1"/>
  <c r="AA21" i="1"/>
  <c r="Z21" i="1"/>
  <c r="Z22" i="1"/>
  <c r="AA22" i="1"/>
  <c r="AA23" i="1"/>
  <c r="Z23" i="1"/>
  <c r="Z24" i="1"/>
  <c r="AA24" i="1"/>
  <c r="AA25" i="1"/>
  <c r="Z25" i="1"/>
  <c r="AA26" i="1"/>
  <c r="Z26" i="1"/>
  <c r="AA27" i="1"/>
  <c r="Z27" i="1"/>
  <c r="Z28" i="1"/>
  <c r="AA28" i="1"/>
  <c r="AA29" i="1"/>
  <c r="Z29" i="1"/>
  <c r="Z30" i="1"/>
  <c r="AA30" i="1"/>
  <c r="AA31" i="1"/>
  <c r="Z31" i="1"/>
  <c r="AA32" i="1"/>
  <c r="Z32" i="1"/>
  <c r="AA33" i="1"/>
  <c r="Z33" i="1"/>
  <c r="Z34" i="1"/>
  <c r="AA34" i="1"/>
  <c r="AA35" i="1"/>
  <c r="Z35" i="1"/>
  <c r="AA36" i="1"/>
  <c r="Z36" i="1"/>
  <c r="AA37" i="1"/>
  <c r="Z37" i="1"/>
  <c r="AA38" i="1"/>
  <c r="Z38" i="1"/>
  <c r="AA39" i="1"/>
  <c r="Z39" i="1"/>
  <c r="AA40" i="1"/>
  <c r="Z40" i="1"/>
  <c r="Z41" i="1"/>
  <c r="AA41" i="1"/>
  <c r="AA42" i="1"/>
  <c r="Z42" i="1"/>
  <c r="AA43" i="1"/>
  <c r="Z43" i="1"/>
  <c r="Z44" i="1"/>
  <c r="AA44" i="1"/>
  <c r="AA45" i="1"/>
  <c r="Z45" i="1"/>
  <c r="Z46" i="1"/>
  <c r="AA46" i="1"/>
  <c r="AA47" i="1"/>
  <c r="Z47" i="1"/>
  <c r="Z48" i="1"/>
  <c r="AA48" i="1"/>
  <c r="AA49" i="1"/>
  <c r="Z49" i="1"/>
  <c r="AA50" i="1"/>
  <c r="Z50" i="1"/>
  <c r="AA51" i="1"/>
  <c r="Z51" i="1"/>
  <c r="Z52" i="1"/>
  <c r="AA52" i="1"/>
  <c r="AA53" i="1"/>
  <c r="Z53" i="1"/>
  <c r="AA54" i="1"/>
  <c r="Z54" i="1"/>
  <c r="Z55" i="1"/>
  <c r="AA55" i="1"/>
  <c r="AA56" i="1"/>
  <c r="Z56" i="1"/>
  <c r="AA57" i="1"/>
  <c r="Z57" i="1"/>
  <c r="AA58" i="1"/>
  <c r="Z58" i="1"/>
  <c r="AA59" i="1"/>
  <c r="Z59" i="1"/>
  <c r="AA60" i="1"/>
  <c r="Z60" i="1"/>
  <c r="AA61" i="1"/>
  <c r="Z61" i="1"/>
  <c r="AA62" i="1"/>
  <c r="Z62" i="1"/>
  <c r="AA63" i="1"/>
  <c r="Z63" i="1"/>
  <c r="AA64" i="1"/>
  <c r="Z64" i="1"/>
  <c r="AA65" i="1"/>
  <c r="Z65" i="1"/>
  <c r="AA66" i="1"/>
  <c r="Z66" i="1"/>
  <c r="Z67" i="1"/>
  <c r="AA67" i="1"/>
  <c r="Z68" i="1"/>
  <c r="AA68" i="1"/>
  <c r="Z69" i="1"/>
  <c r="AA69" i="1"/>
  <c r="Z70" i="1"/>
  <c r="AA70" i="1"/>
  <c r="Z71" i="1"/>
  <c r="AA71" i="1"/>
  <c r="Z72" i="1"/>
  <c r="AA72" i="1"/>
  <c r="AA73" i="1"/>
  <c r="Z73" i="1"/>
  <c r="AA74" i="1"/>
  <c r="Z74" i="1"/>
  <c r="AA75" i="1"/>
  <c r="Z75" i="1"/>
  <c r="AA76" i="1"/>
  <c r="Z76" i="1"/>
  <c r="Z77" i="1"/>
  <c r="AA77" i="1"/>
  <c r="Z78" i="1"/>
  <c r="AA78" i="1"/>
  <c r="AA79" i="1"/>
  <c r="Z79" i="1"/>
  <c r="AA80" i="1"/>
  <c r="Z80" i="1"/>
  <c r="Z81" i="1"/>
  <c r="AA81" i="1"/>
  <c r="AA82" i="1"/>
  <c r="Z82" i="1"/>
  <c r="Z83" i="1"/>
  <c r="AA83" i="1"/>
  <c r="Z84" i="1"/>
  <c r="AA84" i="1"/>
  <c r="Z85" i="1"/>
  <c r="AA85" i="1"/>
  <c r="Z86" i="1"/>
  <c r="AA86" i="1"/>
  <c r="Z87" i="1"/>
  <c r="AA87" i="1"/>
  <c r="Z88" i="1"/>
  <c r="AA88" i="1"/>
  <c r="Z89" i="1"/>
  <c r="AA89" i="1"/>
  <c r="Z90" i="1"/>
  <c r="AA90" i="1"/>
  <c r="Z91" i="1"/>
  <c r="AA91" i="1"/>
  <c r="Z92" i="1"/>
  <c r="AA92" i="1"/>
  <c r="Z93" i="1"/>
  <c r="AA93" i="1"/>
  <c r="Z94" i="1"/>
  <c r="AA94" i="1"/>
  <c r="Z95" i="1"/>
  <c r="AA95" i="1"/>
  <c r="AA96" i="1"/>
  <c r="Z96" i="1"/>
  <c r="AA97" i="1"/>
  <c r="Z97" i="1"/>
  <c r="AA98" i="1"/>
  <c r="Z98" i="1"/>
  <c r="AA99" i="1"/>
  <c r="Z99" i="1"/>
  <c r="AA100" i="1"/>
  <c r="Z100" i="1"/>
  <c r="Z101" i="1"/>
  <c r="AA1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<sst xmlns="http://schemas.openxmlformats.org/spreadsheetml/2006/main" count="988" uniqueCount="176">
  <si>
    <t>Product type</t>
  </si>
  <si>
    <t>SKU</t>
  </si>
  <si>
    <t>Price</t>
  </si>
  <si>
    <t>Availability</t>
  </si>
  <si>
    <t>Number of products sold</t>
  </si>
  <si>
    <t>Revenue generated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</si>
  <si>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</si>
  <si>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</si>
  <si>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</si>
  <si>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</si>
  <si>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</si>
  <si>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</si>
  <si>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</si>
  <si>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</si>
  <si>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</si>
  <si>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</si>
  <si>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</si>
  <si>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</si>
  <si>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</si>
  <si>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</si>
  <si>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</si>
  <si>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</si>
  <si>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</si>
  <si>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</si>
  <si>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</si>
  <si>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</si>
  <si>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</si>
  <si>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</si>
  <si>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</si>
  <si>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</si>
  <si>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</si>
  <si>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</si>
  <si>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</si>
  <si>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</si>
  <si>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</si>
  <si>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</si>
  <si>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</si>
  <si>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</si>
  <si>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</si>
  <si>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</si>
  <si>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</si>
  <si>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</si>
  <si>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</si>
  <si>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</si>
  <si>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</si>
  <si>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</si>
  <si>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</si>
  <si>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</si>
  <si>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</si>
  <si>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</si>
  <si>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</si>
  <si>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</si>
  <si>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</si>
  <si>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</si>
  <si>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</si>
  <si>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</si>
  <si>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</si>
  <si>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</si>
  <si>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</si>
  <si>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</si>
  <si>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</si>
  <si>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</si>
  <si>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</si>
  <si>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</si>
  <si>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</si>
  <si>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</si>
  <si>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</si>
  <si>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</si>
  <si>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</si>
  <si>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</si>
  <si>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</si>
  <si>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</si>
  <si>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</si>
  <si>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</si>
  <si>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</si>
  <si>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</si>
  <si>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</si>
  <si>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</si>
  <si>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</si>
  <si>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</si>
  <si>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</si>
  <si>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</si>
  <si>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</si>
  <si>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</si>
  <si>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</si>
  <si>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</si>
  <si>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</si>
  <si>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</si>
  <si>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</si>
  <si>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</si>
  <si>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</si>
  <si>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</si>
  <si>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</si>
  <si>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</si>
  <si>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</si>
  <si>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</si>
  <si>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</si>
  <si>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</si>
  <si>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</si>
  <si>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</si>
  <si>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</si>
  <si>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</si>
  <si>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</si>
  <si>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</si>
  <si>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</si>
  <si>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</si>
  <si>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</si>
  <si>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</si>
  <si>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</si>
  <si>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</si>
  <si>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</si>
  <si>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</si>
  <si>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</si>
  <si>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</si>
  <si>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</si>
  <si>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</si>
  <si>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</si>
  <si>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</si>
  <si>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</si>
  <si>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</si>
  <si>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</si>
  <si>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</si>
  <si>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</si>
  <si>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</si>
  <si>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</si>
  <si>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</si>
  <si>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</si>
  <si>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</si>
  <si>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</si>
  <si>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</si>
  <si>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</si>
  <si>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</si>
  <si>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</si>
  <si>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</si>
  <si>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</si>
  <si>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</si>
  <si>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</si>
  <si>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</si>
  <si>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</si>
  <si>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</si>
  <si>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</si>
  <si>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</si>
  <si>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</si>
  <si>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</si>
  <si>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</si>
  <si>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</si>
  <si>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</si>
  <si>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</si>
  <si>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</si>
  <si>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</si>
  <si>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</si>
  <si>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</si>
  <si>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 xml:space="preserve"> supplier_Lead times</t>
  </si>
  <si>
    <t>order _lead time</t>
  </si>
  <si>
    <t>total cost</t>
  </si>
  <si>
    <t>gross profit</t>
  </si>
  <si>
    <t>gross profit % margin</t>
  </si>
  <si>
    <t>toal lead time</t>
  </si>
  <si>
    <t>lead time risk category</t>
  </si>
  <si>
    <t>Sum of Revenue generated</t>
  </si>
  <si>
    <t>Sum of Number of products sold</t>
  </si>
  <si>
    <t>Average of Defect rates</t>
  </si>
  <si>
    <t>Average of Manufacturing lead time</t>
  </si>
  <si>
    <t>Row Labels</t>
  </si>
  <si>
    <t>Grand Total</t>
  </si>
  <si>
    <t>Average of Shipping costs</t>
  </si>
  <si>
    <t>Average of Shipping times</t>
  </si>
  <si>
    <t>Count of SKU</t>
  </si>
  <si>
    <t>Average of Manufacturing costs</t>
  </si>
  <si>
    <t>Sum of Order quantities</t>
  </si>
  <si>
    <t>Sum of Costs</t>
  </si>
  <si>
    <t>Bangalore Total</t>
  </si>
  <si>
    <t>Chennai Total</t>
  </si>
  <si>
    <t>Delhi Total</t>
  </si>
  <si>
    <t>Kolkata Total</t>
  </si>
  <si>
    <t>Mumbai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</si>
</sst>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 #,##0.00"/>
    <numFmt numFmtId="172" formatCode="[$$-10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5" fontId="0" fillId="0" borderId="0" xfId="0" applyNumberFormat="1"/>
    <xf numFmtId="0" fontId="0" fillId="0" borderId="0" xfId="0" applyNumberFormat="1"/>
    <xf numFmtId="1" fontId="0" fillId="0" borderId="0" xfId="0" applyNumberFormat="1"/>
    <xf numFmtId="10" fontId="0" fillId="0" borderId="0" xfId="0" applyNumberFormat="1"/>
    <xf numFmtId="17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72" formatCode="[$$-1009]#,##0"/>
    </dxf>
    <dxf>
      <numFmt numFmtId="1" formatCode="0"/>
    </dxf>
    <dxf>
      <numFmt numFmtId="1" formatCode="0"/>
    </dxf>
    <dxf>
      <numFmt numFmtId="14" formatCode="0.00%"/>
    </dxf>
    <dxf>
      <numFmt numFmtId="14" formatCode="0.00%"/>
    </dxf>
    <dxf>
      <numFmt numFmtId="1" formatCode="0"/>
    </dxf>
    <dxf>
      <numFmt numFmtId="1" formatCode="0"/>
    </dxf>
    <dxf>
      <numFmt numFmtId="172" formatCode="[$$-1009]#,##0"/>
    </dxf>
    <dxf>
      <numFmt numFmtId="14" formatCode="0.00%"/>
    </dxf>
    <dxf>
      <numFmt numFmtId="0" formatCode="General"/>
    </dxf>
    <dxf>
      <numFmt numFmtId="165" formatCode="&quot;₹&quot;\ #,##0.00"/>
    </dxf>
    <dxf>
      <numFmt numFmtId="1" formatCode="0"/>
    </dxf>
    <dxf>
      <numFmt numFmtId="0" formatCode="General"/>
    </dxf>
    <dxf>
      <numFmt numFmtId="165" formatCode="&quot;₹&quot;\ #,##0.00"/>
    </dxf>
    <dxf>
      <numFmt numFmtId="165" formatCode="&quot;₹&quot;\ #,##0.00"/>
    </dxf>
    <dxf>
      <numFmt numFmtId="165" formatCode="&quot;₹&quot;\ #,##0.00"/>
    </dxf>
    <dxf>
      <numFmt numFmtId="165" formatCode="&quot;₹&quot;\ #,##0.00"/>
    </dxf>
  </dxfs>
  <tableStyles count="1" defaultTableStyle="TableStyleMedium2" defaultPivotStyle="PivotStyleLight16">
    <tableStyle name="Slicer Style 1" pivot="0" table="0" count="0" xr9:uid="{9254DAF4-AB61-4850-BBCD-CEEEB012186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table!PivotTable5</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38670166229223"/>
          <c:y val="0.13786818314377369"/>
          <c:w val="0.47967716535433069"/>
          <c:h val="0.75010279965004378"/>
        </c:manualLayout>
      </c:layout>
      <c:bar3DChart>
        <c:barDir val="col"/>
        <c:grouping val="clustered"/>
        <c:varyColors val="0"/>
        <c:ser>
          <c:idx val="0"/>
          <c:order val="0"/>
          <c:tx>
            <c:strRef>
              <c:f>'pivot table'!$A$3</c:f>
              <c:strCache>
                <c:ptCount val="1"/>
                <c:pt idx="0">
                  <c:v>Sum of Revenue generated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table'!$A$4</c:f>
              <c:numCache>
                <c:formatCode>[$$-1009]#,##0</c:formatCode>
                <c:ptCount val="1"/>
                <c:pt idx="0">
                  <c:v>577604.81873800792</c:v>
                </c:pt>
              </c:numCache>
            </c:numRef>
          </c:val>
          <c:extLst>
            <c:ext xmlns:c16="http://schemas.microsoft.com/office/drawing/2014/chart" uri="{C3380CC4-5D6E-409C-BE32-E72D297353CC}">
              <c16:uniqueId val="{00000000-2527-46B6-8387-1B4E68703FC6}"/>
            </c:ext>
          </c:extLst>
        </c:ser>
        <c:ser>
          <c:idx val="1"/>
          <c:order val="1"/>
          <c:tx>
            <c:strRef>
              <c:f>'pivot table'!$B$3</c:f>
              <c:strCache>
                <c:ptCount val="1"/>
                <c:pt idx="0">
                  <c:v>Sum of Number of products sold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table'!$B$4</c:f>
              <c:numCache>
                <c:formatCode>0</c:formatCode>
                <c:ptCount val="1"/>
                <c:pt idx="0">
                  <c:v>46099</c:v>
                </c:pt>
              </c:numCache>
            </c:numRef>
          </c:val>
          <c:extLst>
            <c:ext xmlns:c16="http://schemas.microsoft.com/office/drawing/2014/chart" uri="{C3380CC4-5D6E-409C-BE32-E72D297353CC}">
              <c16:uniqueId val="{00000001-2527-46B6-8387-1B4E68703FC6}"/>
            </c:ext>
          </c:extLst>
        </c:ser>
        <c:ser>
          <c:idx val="2"/>
          <c:order val="2"/>
          <c:tx>
            <c:strRef>
              <c:f>'pivot table'!$C$3</c:f>
              <c:strCache>
                <c:ptCount val="1"/>
                <c:pt idx="0">
                  <c:v>Average of Defect rates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table'!$C$4</c:f>
              <c:numCache>
                <c:formatCode>0.00%</c:formatCode>
                <c:ptCount val="1"/>
                <c:pt idx="0">
                  <c:v>2.2771579927396073</c:v>
                </c:pt>
              </c:numCache>
            </c:numRef>
          </c:val>
          <c:extLst>
            <c:ext xmlns:c16="http://schemas.microsoft.com/office/drawing/2014/chart" uri="{C3380CC4-5D6E-409C-BE32-E72D297353CC}">
              <c16:uniqueId val="{00000002-2527-46B6-8387-1B4E68703FC6}"/>
            </c:ext>
          </c:extLst>
        </c:ser>
        <c:ser>
          <c:idx val="3"/>
          <c:order val="3"/>
          <c:tx>
            <c:strRef>
              <c:f>'pivot table'!$D$3</c:f>
              <c:strCache>
                <c:ptCount val="1"/>
                <c:pt idx="0">
                  <c:v>Average of Manufacturing lead time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table'!$D$4</c:f>
              <c:numCache>
                <c:formatCode>0</c:formatCode>
                <c:ptCount val="1"/>
                <c:pt idx="0">
                  <c:v>14.77</c:v>
                </c:pt>
              </c:numCache>
            </c:numRef>
          </c:val>
          <c:extLst>
            <c:ext xmlns:c16="http://schemas.microsoft.com/office/drawing/2014/chart" uri="{C3380CC4-5D6E-409C-BE32-E72D297353CC}">
              <c16:uniqueId val="{00000003-2527-46B6-8387-1B4E68703FC6}"/>
            </c:ext>
          </c:extLst>
        </c:ser>
        <c:dLbls>
          <c:showLegendKey val="0"/>
          <c:showVal val="1"/>
          <c:showCatName val="0"/>
          <c:showSerName val="0"/>
          <c:showPercent val="0"/>
          <c:showBubbleSize val="0"/>
        </c:dLbls>
        <c:gapWidth val="150"/>
        <c:shape val="box"/>
        <c:axId val="715256144"/>
        <c:axId val="37779344"/>
        <c:axId val="0"/>
      </c:bar3DChart>
      <c:catAx>
        <c:axId val="71525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9344"/>
        <c:crosses val="autoZero"/>
        <c:auto val="1"/>
        <c:lblAlgn val="ctr"/>
        <c:lblOffset val="100"/>
        <c:noMultiLvlLbl val="0"/>
      </c:catAx>
      <c:valAx>
        <c:axId val="37779344"/>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17000"/>
        </a:schemeClr>
      </a:solidFill>
      <a:round/>
    </a:ln>
    <a:effectLst>
      <a:outerShdw blurRad="50800" dist="50800" dir="5400000" algn="ctr" rotWithShape="0">
        <a:srgbClr val="000000">
          <a:alpha val="1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table!PivotTable7</c:name>
    <c:fmtId val="1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2"/>
          </a:solidFill>
          <a:ln w="19050">
            <a:solidFill>
              <a:schemeClr val="lt1"/>
            </a:solidFill>
          </a:ln>
          <a:effectLst/>
        </c:spPr>
        <c:dLbl>
          <c:idx val="0"/>
          <c:layout>
            <c:manualLayout>
              <c:x val="0.108"/>
              <c:y val="-2.191780821917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3"/>
          </a:solidFill>
          <a:ln w="19050">
            <a:solidFill>
              <a:schemeClr val="lt1"/>
            </a:solidFill>
          </a:ln>
          <a:effectLst/>
        </c:spPr>
      </c:pivotFmt>
      <c:pivotFmt>
        <c:idx val="31"/>
        <c:spPr>
          <a:solidFill>
            <a:schemeClr val="accent4"/>
          </a:solidFill>
          <a:ln w="19050">
            <a:solidFill>
              <a:schemeClr val="lt1"/>
            </a:solidFill>
          </a:ln>
          <a:effectLst/>
        </c:spPr>
      </c:pivotFmt>
    </c:pivotFmts>
    <c:plotArea>
      <c:layout/>
      <c:doughnutChart>
        <c:varyColors val="1"/>
        <c:ser>
          <c:idx val="0"/>
          <c:order val="0"/>
          <c:tx>
            <c:strRef>
              <c:f>'pivot table'!$L$3</c:f>
              <c:strCache>
                <c:ptCount val="1"/>
                <c:pt idx="0">
                  <c:v>Average of Shipping costs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F6B-4AB4-B143-DFB3F62A7A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F6B-4AB4-B143-DFB3F62A7A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8F6B-4AB4-B143-DFB3F62A7A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8F6B-4AB4-B143-DFB3F62A7A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Air</c:v>
                </c:pt>
                <c:pt idx="1">
                  <c:v>Rail</c:v>
                </c:pt>
                <c:pt idx="2">
                  <c:v>Road</c:v>
                </c:pt>
                <c:pt idx="3">
                  <c:v>Sea</c:v>
                </c:pt>
              </c:strCache>
            </c:strRef>
          </c:cat>
          <c:val>
            <c:numRef>
              <c:f>'pivot table'!$L$4:$L$8</c:f>
              <c:numCache>
                <c:formatCode>"₹"\ #,##0.00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C-8F6B-4AB4-B143-DFB3F62A7AA7}"/>
            </c:ext>
          </c:extLst>
        </c:ser>
        <c:ser>
          <c:idx val="1"/>
          <c:order val="1"/>
          <c:tx>
            <c:strRef>
              <c:f>'pivot table'!$M$3</c:f>
              <c:strCache>
                <c:ptCount val="1"/>
                <c:pt idx="0">
                  <c:v>Average of Shipping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8F6B-4AB4-B143-DFB3F62A7A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8F6B-4AB4-B143-DFB3F62A7A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8F6B-4AB4-B143-DFB3F62A7A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8F6B-4AB4-B143-DFB3F62A7AA7}"/>
              </c:ext>
            </c:extLst>
          </c:dPt>
          <c:dLbls>
            <c:dLbl>
              <c:idx val="1"/>
              <c:layout>
                <c:manualLayout>
                  <c:x val="0.108"/>
                  <c:y val="-2.19178082191779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8F6B-4AB4-B143-DFB3F62A7A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Air</c:v>
                </c:pt>
                <c:pt idx="1">
                  <c:v>Rail</c:v>
                </c:pt>
                <c:pt idx="2">
                  <c:v>Road</c:v>
                </c:pt>
                <c:pt idx="3">
                  <c:v>Sea</c:v>
                </c:pt>
              </c:strCache>
            </c:strRef>
          </c:cat>
          <c:val>
            <c:numRef>
              <c:f>'pivot table'!$M$4:$M$8</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16-8F6B-4AB4-B143-DFB3F62A7AA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table!PivotTable7</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pattFill prst="pct5">
              <a:fgClr>
                <a:schemeClr val="accent3"/>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Average of Shipping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pattFill prst="pct5">
                <a:fgClr>
                  <a:schemeClr val="accent3"/>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table'!$K$4:$K$8</c:f>
              <c:strCache>
                <c:ptCount val="4"/>
                <c:pt idx="0">
                  <c:v>Air</c:v>
                </c:pt>
                <c:pt idx="1">
                  <c:v>Rail</c:v>
                </c:pt>
                <c:pt idx="2">
                  <c:v>Road</c:v>
                </c:pt>
                <c:pt idx="3">
                  <c:v>Sea</c:v>
                </c:pt>
              </c:strCache>
            </c:strRef>
          </c:cat>
          <c:val>
            <c:numRef>
              <c:f>'pivot table'!$L$4:$L$8</c:f>
              <c:numCache>
                <c:formatCode>"₹"\ #,##0.00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4E51-4960-85BC-223157700888}"/>
            </c:ext>
          </c:extLst>
        </c:ser>
        <c:ser>
          <c:idx val="1"/>
          <c:order val="1"/>
          <c:tx>
            <c:strRef>
              <c:f>'pivot table'!$M$3</c:f>
              <c:strCache>
                <c:ptCount val="1"/>
                <c:pt idx="0">
                  <c:v>Average of Shipping times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table'!$K$4:$K$8</c:f>
              <c:strCache>
                <c:ptCount val="4"/>
                <c:pt idx="0">
                  <c:v>Air</c:v>
                </c:pt>
                <c:pt idx="1">
                  <c:v>Rail</c:v>
                </c:pt>
                <c:pt idx="2">
                  <c:v>Road</c:v>
                </c:pt>
                <c:pt idx="3">
                  <c:v>Sea</c:v>
                </c:pt>
              </c:strCache>
            </c:strRef>
          </c:cat>
          <c:val>
            <c:numRef>
              <c:f>'pivot table'!$M$4:$M$8</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2-4E51-4960-85BC-223157700888}"/>
            </c:ext>
          </c:extLst>
        </c:ser>
        <c:dLbls>
          <c:dLblPos val="inEnd"/>
          <c:showLegendKey val="0"/>
          <c:showVal val="1"/>
          <c:showCatName val="0"/>
          <c:showSerName val="0"/>
          <c:showPercent val="0"/>
          <c:showBubbleSize val="0"/>
        </c:dLbls>
        <c:gapWidth val="100"/>
        <c:axId val="2135099039"/>
        <c:axId val="808976"/>
      </c:barChart>
      <c:valAx>
        <c:axId val="808976"/>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5099039"/>
        <c:crosses val="autoZero"/>
        <c:crossBetween val="between"/>
      </c:valAx>
      <c:catAx>
        <c:axId val="21350990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8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0.0%"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014399505165698"/>
          <c:y val="0.1659160334989947"/>
          <c:w val="0.19965618655648654"/>
          <c:h val="0.77478882738662935"/>
        </c:manualLayout>
      </c:layout>
      <c:bar3DChart>
        <c:barDir val="bar"/>
        <c:grouping val="stacked"/>
        <c:varyColors val="0"/>
        <c:ser>
          <c:idx val="0"/>
          <c:order val="0"/>
          <c:tx>
            <c:strRef>
              <c:f>'pivot table'!$Q$3</c:f>
              <c:strCache>
                <c:ptCount val="1"/>
                <c:pt idx="0">
                  <c:v>Average of Defect rates</c:v>
                </c:pt>
              </c:strCache>
            </c:strRef>
          </c:tx>
          <c:spPr>
            <a:solidFill>
              <a:schemeClr val="accent1"/>
            </a:solidFill>
            <a:ln>
              <a:noFill/>
            </a:ln>
            <a:effectLst/>
            <a:sp3d/>
          </c:spPr>
          <c:invertIfNegative val="0"/>
          <c:dLbls>
            <c:numFmt formatCode="0.0%"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table'!$P$4:$P$9</c:f>
              <c:strCache>
                <c:ptCount val="5"/>
                <c:pt idx="0">
                  <c:v>Supplier 5</c:v>
                </c:pt>
                <c:pt idx="1">
                  <c:v>Supplier 4</c:v>
                </c:pt>
                <c:pt idx="2">
                  <c:v>Supplier 3</c:v>
                </c:pt>
                <c:pt idx="3">
                  <c:v>Supplier 2</c:v>
                </c:pt>
                <c:pt idx="4">
                  <c:v>Supplier 1</c:v>
                </c:pt>
              </c:strCache>
            </c:strRef>
          </c:cat>
          <c:val>
            <c:numRef>
              <c:f>'pivot table'!$Q$4:$Q$9</c:f>
              <c:numCache>
                <c:formatCode>General</c:formatCode>
                <c:ptCount val="5"/>
                <c:pt idx="0">
                  <c:v>2.6654083441491982</c:v>
                </c:pt>
                <c:pt idx="1">
                  <c:v>2.3373974005913354</c:v>
                </c:pt>
                <c:pt idx="2">
                  <c:v>2.4657860307644657</c:v>
                </c:pt>
                <c:pt idx="3">
                  <c:v>2.3627501450718764</c:v>
                </c:pt>
                <c:pt idx="4">
                  <c:v>1.8036297116882485</c:v>
                </c:pt>
              </c:numCache>
            </c:numRef>
          </c:val>
          <c:extLst>
            <c:ext xmlns:c16="http://schemas.microsoft.com/office/drawing/2014/chart" uri="{C3380CC4-5D6E-409C-BE32-E72D297353CC}">
              <c16:uniqueId val="{00000003-B22E-4037-ADBD-1C701F797ED7}"/>
            </c:ext>
          </c:extLst>
        </c:ser>
        <c:ser>
          <c:idx val="1"/>
          <c:order val="1"/>
          <c:tx>
            <c:strRef>
              <c:f>'pivot table'!$R$3</c:f>
              <c:strCache>
                <c:ptCount val="1"/>
                <c:pt idx="0">
                  <c:v>Average of Manufacturing costs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table'!$P$4:$P$9</c:f>
              <c:strCache>
                <c:ptCount val="5"/>
                <c:pt idx="0">
                  <c:v>Supplier 5</c:v>
                </c:pt>
                <c:pt idx="1">
                  <c:v>Supplier 4</c:v>
                </c:pt>
                <c:pt idx="2">
                  <c:v>Supplier 3</c:v>
                </c:pt>
                <c:pt idx="3">
                  <c:v>Supplier 2</c:v>
                </c:pt>
                <c:pt idx="4">
                  <c:v>Supplier 1</c:v>
                </c:pt>
              </c:strCache>
            </c:strRef>
          </c:cat>
          <c:val>
            <c:numRef>
              <c:f>'pivot table'!$R$4:$R$9</c:f>
              <c:numCache>
                <c:formatCode>"₹"\ #,##0.00</c:formatCode>
                <c:ptCount val="5"/>
                <c:pt idx="0">
                  <c:v>44.768243011189483</c:v>
                </c:pt>
                <c:pt idx="1">
                  <c:v>62.709726881875199</c:v>
                </c:pt>
                <c:pt idx="2">
                  <c:v>43.634121313780923</c:v>
                </c:pt>
                <c:pt idx="3">
                  <c:v>41.622514186334527</c:v>
                </c:pt>
                <c:pt idx="4">
                  <c:v>45.254027195027781</c:v>
                </c:pt>
              </c:numCache>
            </c:numRef>
          </c:val>
          <c:extLst>
            <c:ext xmlns:c16="http://schemas.microsoft.com/office/drawing/2014/chart" uri="{C3380CC4-5D6E-409C-BE32-E72D297353CC}">
              <c16:uniqueId val="{00000004-B22E-4037-ADBD-1C701F797ED7}"/>
            </c:ext>
          </c:extLst>
        </c:ser>
        <c:ser>
          <c:idx val="2"/>
          <c:order val="2"/>
          <c:tx>
            <c:strRef>
              <c:f>'pivot table'!$S$3</c:f>
              <c:strCache>
                <c:ptCount val="1"/>
                <c:pt idx="0">
                  <c:v>Count of SKU</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table'!$P$4:$P$9</c:f>
              <c:strCache>
                <c:ptCount val="5"/>
                <c:pt idx="0">
                  <c:v>Supplier 5</c:v>
                </c:pt>
                <c:pt idx="1">
                  <c:v>Supplier 4</c:v>
                </c:pt>
                <c:pt idx="2">
                  <c:v>Supplier 3</c:v>
                </c:pt>
                <c:pt idx="3">
                  <c:v>Supplier 2</c:v>
                </c:pt>
                <c:pt idx="4">
                  <c:v>Supplier 1</c:v>
                </c:pt>
              </c:strCache>
            </c:strRef>
          </c:cat>
          <c:val>
            <c:numRef>
              <c:f>'pivot table'!$S$4:$S$9</c:f>
              <c:numCache>
                <c:formatCode>General</c:formatCode>
                <c:ptCount val="5"/>
                <c:pt idx="0">
                  <c:v>18</c:v>
                </c:pt>
                <c:pt idx="1">
                  <c:v>18</c:v>
                </c:pt>
                <c:pt idx="2">
                  <c:v>15</c:v>
                </c:pt>
                <c:pt idx="3">
                  <c:v>22</c:v>
                </c:pt>
                <c:pt idx="4">
                  <c:v>27</c:v>
                </c:pt>
              </c:numCache>
            </c:numRef>
          </c:val>
          <c:extLst>
            <c:ext xmlns:c16="http://schemas.microsoft.com/office/drawing/2014/chart" uri="{C3380CC4-5D6E-409C-BE32-E72D297353CC}">
              <c16:uniqueId val="{00000005-B22E-4037-ADBD-1C701F797ED7}"/>
            </c:ext>
          </c:extLst>
        </c:ser>
        <c:dLbls>
          <c:showLegendKey val="0"/>
          <c:showVal val="1"/>
          <c:showCatName val="0"/>
          <c:showSerName val="0"/>
          <c:showPercent val="0"/>
          <c:showBubbleSize val="0"/>
        </c:dLbls>
        <c:gapWidth val="150"/>
        <c:shape val="box"/>
        <c:axId val="332421968"/>
        <c:axId val="23917552"/>
        <c:axId val="0"/>
      </c:bar3DChart>
      <c:catAx>
        <c:axId val="33242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7552"/>
        <c:crosses val="autoZero"/>
        <c:auto val="1"/>
        <c:lblAlgn val="ctr"/>
        <c:lblOffset val="100"/>
        <c:noMultiLvlLbl val="0"/>
      </c:catAx>
      <c:valAx>
        <c:axId val="2391755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242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table!PivotTable9</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table'!$W$3</c:f>
              <c:strCache>
                <c:ptCount val="1"/>
                <c:pt idx="0">
                  <c:v>Sum of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table'!$U$4:$V$24</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table'!$W$4:$W$24</c:f>
              <c:numCache>
                <c:formatCode>General</c:formatCode>
                <c:ptCount val="15"/>
                <c:pt idx="0">
                  <c:v>6880.7621608821901</c:v>
                </c:pt>
                <c:pt idx="1">
                  <c:v>2343.1258475145869</c:v>
                </c:pt>
                <c:pt idx="2">
                  <c:v>1336.833429901307</c:v>
                </c:pt>
                <c:pt idx="3">
                  <c:v>3714.280873244506</c:v>
                </c:pt>
                <c:pt idx="4">
                  <c:v>5566.6205275221746</c:v>
                </c:pt>
                <c:pt idx="5">
                  <c:v>3154.111791239548</c:v>
                </c:pt>
                <c:pt idx="6">
                  <c:v>2694.5279652368768</c:v>
                </c:pt>
                <c:pt idx="7">
                  <c:v>3800.5856620281666</c:v>
                </c:pt>
                <c:pt idx="8">
                  <c:v>1728.454530159692</c:v>
                </c:pt>
                <c:pt idx="9">
                  <c:v>4440.6433075530485</c:v>
                </c:pt>
                <c:pt idx="10">
                  <c:v>6199.5896424006287</c:v>
                </c:pt>
                <c:pt idx="11">
                  <c:v>1641.512087745851</c:v>
                </c:pt>
                <c:pt idx="12">
                  <c:v>3145.5601874365425</c:v>
                </c:pt>
                <c:pt idx="13">
                  <c:v>4129.4623461357778</c:v>
                </c:pt>
                <c:pt idx="14">
                  <c:v>2148.5078568131607</c:v>
                </c:pt>
              </c:numCache>
            </c:numRef>
          </c:val>
          <c:extLst>
            <c:ext xmlns:c16="http://schemas.microsoft.com/office/drawing/2014/chart" uri="{C3380CC4-5D6E-409C-BE32-E72D297353CC}">
              <c16:uniqueId val="{00000000-A49A-452D-B53C-3C6EC986D8E5}"/>
            </c:ext>
          </c:extLst>
        </c:ser>
        <c:ser>
          <c:idx val="1"/>
          <c:order val="1"/>
          <c:tx>
            <c:strRef>
              <c:f>'pivot table'!$X$3</c:f>
              <c:strCache>
                <c:ptCount val="1"/>
                <c:pt idx="0">
                  <c:v>Sum of Order quantities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table'!$U$4:$V$24</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table'!$X$4:$X$24</c:f>
              <c:numCache>
                <c:formatCode>General</c:formatCode>
                <c:ptCount val="15"/>
                <c:pt idx="0">
                  <c:v>426</c:v>
                </c:pt>
                <c:pt idx="1">
                  <c:v>290</c:v>
                </c:pt>
                <c:pt idx="2">
                  <c:v>53</c:v>
                </c:pt>
                <c:pt idx="3">
                  <c:v>344</c:v>
                </c:pt>
                <c:pt idx="4">
                  <c:v>479</c:v>
                </c:pt>
                <c:pt idx="5">
                  <c:v>286</c:v>
                </c:pt>
                <c:pt idx="6">
                  <c:v>189</c:v>
                </c:pt>
                <c:pt idx="7">
                  <c:v>356</c:v>
                </c:pt>
                <c:pt idx="8">
                  <c:v>188</c:v>
                </c:pt>
                <c:pt idx="9">
                  <c:v>535</c:v>
                </c:pt>
                <c:pt idx="10">
                  <c:v>541</c:v>
                </c:pt>
                <c:pt idx="11">
                  <c:v>152</c:v>
                </c:pt>
                <c:pt idx="12">
                  <c:v>350</c:v>
                </c:pt>
                <c:pt idx="13">
                  <c:v>400</c:v>
                </c:pt>
                <c:pt idx="14">
                  <c:v>333</c:v>
                </c:pt>
              </c:numCache>
            </c:numRef>
          </c:val>
          <c:extLst>
            <c:ext xmlns:c16="http://schemas.microsoft.com/office/drawing/2014/chart" uri="{C3380CC4-5D6E-409C-BE32-E72D297353CC}">
              <c16:uniqueId val="{00000001-A49A-452D-B53C-3C6EC986D8E5}"/>
            </c:ext>
          </c:extLst>
        </c:ser>
        <c:dLbls>
          <c:showLegendKey val="0"/>
          <c:showVal val="0"/>
          <c:showCatName val="0"/>
          <c:showSerName val="0"/>
          <c:showPercent val="0"/>
          <c:showBubbleSize val="0"/>
        </c:dLbls>
        <c:gapWidth val="150"/>
        <c:shape val="box"/>
        <c:axId val="403386288"/>
        <c:axId val="1821013711"/>
        <c:axId val="0"/>
      </c:bar3DChart>
      <c:catAx>
        <c:axId val="40338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1013711"/>
        <c:crosses val="autoZero"/>
        <c:auto val="1"/>
        <c:lblAlgn val="ctr"/>
        <c:lblOffset val="100"/>
        <c:noMultiLvlLbl val="0"/>
      </c:catAx>
      <c:valAx>
        <c:axId val="182101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38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10232</xdr:rowOff>
    </xdr:from>
    <xdr:to>
      <xdr:col>20</xdr:col>
      <xdr:colOff>0</xdr:colOff>
      <xdr:row>51</xdr:row>
      <xdr:rowOff>105976</xdr:rowOff>
    </xdr:to>
    <xdr:pic>
      <xdr:nvPicPr>
        <xdr:cNvPr id="3" name="Picture 2">
          <a:extLst>
            <a:ext uri="{FF2B5EF4-FFF2-40B4-BE49-F238E27FC236}">
              <a16:creationId xmlns:a16="http://schemas.microsoft.com/office/drawing/2014/main" id="{B0635733-2350-AAEF-4FB2-7592CC0CF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89309"/>
          <a:ext cx="12225495" cy="6911876"/>
        </a:xfrm>
        <a:prstGeom prst="rect">
          <a:avLst/>
        </a:prstGeom>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10583</xdr:colOff>
      <xdr:row>14</xdr:row>
      <xdr:rowOff>52917</xdr:rowOff>
    </xdr:from>
    <xdr:to>
      <xdr:col>19</xdr:col>
      <xdr:colOff>571500</xdr:colOff>
      <xdr:row>16</xdr:row>
      <xdr:rowOff>148166</xdr:rowOff>
    </xdr:to>
    <xdr:sp macro="" textlink="">
      <xdr:nvSpPr>
        <xdr:cNvPr id="4" name="TextBox 3">
          <a:extLst>
            <a:ext uri="{FF2B5EF4-FFF2-40B4-BE49-F238E27FC236}">
              <a16:creationId xmlns:a16="http://schemas.microsoft.com/office/drawing/2014/main" id="{F260B391-D5A9-C167-5A01-E6FDB80AFECB}"/>
            </a:ext>
          </a:extLst>
        </xdr:cNvPr>
        <xdr:cNvSpPr txBox="1"/>
      </xdr:nvSpPr>
      <xdr:spPr>
        <a:xfrm>
          <a:off x="10583" y="2571750"/>
          <a:ext cx="12223750" cy="45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a:solidFill>
                <a:schemeClr val="accent5">
                  <a:lumMod val="50000"/>
                </a:schemeClr>
              </a:solidFill>
              <a:latin typeface="Algerian" panose="04020705040A02060702" pitchFamily="82" charset="0"/>
            </a:rPr>
            <a:t>SUPPLY</a:t>
          </a:r>
          <a:r>
            <a:rPr lang="en-IN" sz="2400" b="0" baseline="0">
              <a:solidFill>
                <a:schemeClr val="accent5">
                  <a:lumMod val="50000"/>
                </a:schemeClr>
              </a:solidFill>
              <a:latin typeface="Algerian" panose="04020705040A02060702" pitchFamily="82" charset="0"/>
            </a:rPr>
            <a:t> CHAIN &amp; LOGISLATIC INTTELLIGENCE DASHBOARD=EXCUTIVE VIEW</a:t>
          </a:r>
          <a:endParaRPr lang="en-IN" sz="2400" b="0">
            <a:solidFill>
              <a:schemeClr val="accent5">
                <a:lumMod val="50000"/>
              </a:schemeClr>
            </a:solidFill>
            <a:latin typeface="Algerian" panose="04020705040A02060702" pitchFamily="82" charset="0"/>
          </a:endParaRPr>
        </a:p>
      </xdr:txBody>
    </xdr:sp>
    <xdr:clientData/>
  </xdr:twoCellAnchor>
  <xdr:twoCellAnchor>
    <xdr:from>
      <xdr:col>3</xdr:col>
      <xdr:colOff>412750</xdr:colOff>
      <xdr:row>17</xdr:row>
      <xdr:rowOff>169333</xdr:rowOff>
    </xdr:from>
    <xdr:to>
      <xdr:col>7</xdr:col>
      <xdr:colOff>296334</xdr:colOff>
      <xdr:row>25</xdr:row>
      <xdr:rowOff>137582</xdr:rowOff>
    </xdr:to>
    <xdr:sp macro="" textlink="'pivot table'!A4">
      <xdr:nvSpPr>
        <xdr:cNvPr id="5" name="TextBox 4">
          <a:extLst>
            <a:ext uri="{FF2B5EF4-FFF2-40B4-BE49-F238E27FC236}">
              <a16:creationId xmlns:a16="http://schemas.microsoft.com/office/drawing/2014/main" id="{9A411F1B-7D0F-7397-3C3C-29A0326FBB8A}"/>
            </a:ext>
          </a:extLst>
        </xdr:cNvPr>
        <xdr:cNvSpPr txBox="1"/>
      </xdr:nvSpPr>
      <xdr:spPr>
        <a:xfrm>
          <a:off x="2254250" y="3227916"/>
          <a:ext cx="2338917" cy="1407583"/>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TOTAL REVENUE</a:t>
          </a:r>
        </a:p>
        <a:p>
          <a:pPr algn="ctr"/>
          <a:endPar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a:p>
          <a:pPr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a:t>
          </a:r>
          <a:fld id="{9013AA8C-B3E4-42C1-939B-4451B783C26B}" type="TxLink">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pPr algn="ctr"/>
            <a:t>$5,77,605</a:t>
          </a:fld>
          <a:endParaRPr lang="en-IN" sz="18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ndParaRPr>
        </a:p>
      </xdr:txBody>
    </xdr:sp>
    <xdr:clientData/>
  </xdr:twoCellAnchor>
  <xdr:twoCellAnchor>
    <xdr:from>
      <xdr:col>7</xdr:col>
      <xdr:colOff>412751</xdr:colOff>
      <xdr:row>17</xdr:row>
      <xdr:rowOff>158749</xdr:rowOff>
    </xdr:from>
    <xdr:to>
      <xdr:col>11</xdr:col>
      <xdr:colOff>374651</xdr:colOff>
      <xdr:row>25</xdr:row>
      <xdr:rowOff>137582</xdr:rowOff>
    </xdr:to>
    <xdr:sp macro="" textlink="'pivot table'!B4">
      <xdr:nvSpPr>
        <xdr:cNvPr id="7" name="TextBox 6">
          <a:extLst>
            <a:ext uri="{FF2B5EF4-FFF2-40B4-BE49-F238E27FC236}">
              <a16:creationId xmlns:a16="http://schemas.microsoft.com/office/drawing/2014/main" id="{A278CD34-F0C2-43F7-BBBB-4FFE0DF44712}"/>
            </a:ext>
          </a:extLst>
        </xdr:cNvPr>
        <xdr:cNvSpPr txBox="1"/>
      </xdr:nvSpPr>
      <xdr:spPr>
        <a:xfrm>
          <a:off x="4709584" y="3217332"/>
          <a:ext cx="2417234" cy="1418167"/>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UNIT SOLD</a:t>
          </a:r>
        </a:p>
        <a:p>
          <a:pPr marL="0" indent="0" algn="ctr"/>
          <a:endPar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a:t>
          </a:r>
          <a:fld id="{19CB428C-7FE8-4FC1-BF85-762488207146}" type="TxLink">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pPr marL="0" indent="0" algn="ctr"/>
            <a:t>46099</a:t>
          </a:fld>
          <a:endParaRPr lang="en-IN"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xdr:txBody>
    </xdr:sp>
    <xdr:clientData/>
  </xdr:twoCellAnchor>
  <xdr:twoCellAnchor>
    <xdr:from>
      <xdr:col>11</xdr:col>
      <xdr:colOff>516466</xdr:colOff>
      <xdr:row>17</xdr:row>
      <xdr:rowOff>158750</xdr:rowOff>
    </xdr:from>
    <xdr:to>
      <xdr:col>15</xdr:col>
      <xdr:colOff>433917</xdr:colOff>
      <xdr:row>25</xdr:row>
      <xdr:rowOff>148166</xdr:rowOff>
    </xdr:to>
    <xdr:sp macro="" textlink="'pivot table'!C4">
      <xdr:nvSpPr>
        <xdr:cNvPr id="9" name="TextBox 8">
          <a:extLst>
            <a:ext uri="{FF2B5EF4-FFF2-40B4-BE49-F238E27FC236}">
              <a16:creationId xmlns:a16="http://schemas.microsoft.com/office/drawing/2014/main" id="{DF04D16D-4D88-4ADC-A1C8-03963B00924A}"/>
            </a:ext>
          </a:extLst>
        </xdr:cNvPr>
        <xdr:cNvSpPr txBox="1"/>
      </xdr:nvSpPr>
      <xdr:spPr>
        <a:xfrm>
          <a:off x="7268633" y="3217333"/>
          <a:ext cx="2372784" cy="1428750"/>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AVERAGE</a:t>
          </a:r>
        </a:p>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DEFEACT RATE</a:t>
          </a:r>
        </a:p>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         </a:t>
          </a:r>
        </a:p>
        <a:p>
          <a:pPr marL="0" indent="0" algn="ctr"/>
          <a:fld id="{9FBC504F-8890-45BE-AD38-1C5B66306B95}" type="TxLink">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pPr marL="0" indent="0" algn="ctr"/>
            <a:t>227.72%</a:t>
          </a:fld>
          <a:endParaRPr lang="en-IN"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xdr:txBody>
    </xdr:sp>
    <xdr:clientData/>
  </xdr:twoCellAnchor>
  <xdr:twoCellAnchor>
    <xdr:from>
      <xdr:col>15</xdr:col>
      <xdr:colOff>560917</xdr:colOff>
      <xdr:row>17</xdr:row>
      <xdr:rowOff>160868</xdr:rowOff>
    </xdr:from>
    <xdr:to>
      <xdr:col>19</xdr:col>
      <xdr:colOff>488951</xdr:colOff>
      <xdr:row>25</xdr:row>
      <xdr:rowOff>148166</xdr:rowOff>
    </xdr:to>
    <xdr:sp macro="" textlink="'pivot table'!D4">
      <xdr:nvSpPr>
        <xdr:cNvPr id="11" name="TextBox 10">
          <a:extLst>
            <a:ext uri="{FF2B5EF4-FFF2-40B4-BE49-F238E27FC236}">
              <a16:creationId xmlns:a16="http://schemas.microsoft.com/office/drawing/2014/main" id="{4C859544-3477-4F9E-A7C6-005974D75546}"/>
            </a:ext>
          </a:extLst>
        </xdr:cNvPr>
        <xdr:cNvSpPr txBox="1"/>
      </xdr:nvSpPr>
      <xdr:spPr>
        <a:xfrm>
          <a:off x="9768417" y="3219451"/>
          <a:ext cx="2383367" cy="1426632"/>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r>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t>AVG MFD LEAD TIME</a:t>
          </a:r>
        </a:p>
        <a:p>
          <a:pPr marL="0" indent="0" algn="ctr"/>
          <a:endPar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a:p>
          <a:pPr marL="0" indent="0" algn="ctr"/>
          <a:fld id="{7E34B73F-EB96-4799-AEBB-4F754FA98C16}" type="TxLink">
            <a:rPr lang="en-US"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rPr>
            <a:pPr marL="0" indent="0" algn="ctr"/>
            <a:t>15</a:t>
          </a:fld>
          <a:endParaRPr lang="en-IN" sz="18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ea typeface="Calibri"/>
            <a:cs typeface="Calibri"/>
          </a:endParaRPr>
        </a:p>
      </xdr:txBody>
    </xdr:sp>
    <xdr:clientData/>
  </xdr:twoCellAnchor>
  <xdr:twoCellAnchor editAs="absolute">
    <xdr:from>
      <xdr:col>3</xdr:col>
      <xdr:colOff>370417</xdr:colOff>
      <xdr:row>26</xdr:row>
      <xdr:rowOff>21167</xdr:rowOff>
    </xdr:from>
    <xdr:to>
      <xdr:col>11</xdr:col>
      <xdr:colOff>359833</xdr:colOff>
      <xdr:row>37</xdr:row>
      <xdr:rowOff>127000</xdr:rowOff>
    </xdr:to>
    <xdr:graphicFrame macro="">
      <xdr:nvGraphicFramePr>
        <xdr:cNvPr id="12" name="Chart 11">
          <a:extLst>
            <a:ext uri="{FF2B5EF4-FFF2-40B4-BE49-F238E27FC236}">
              <a16:creationId xmlns:a16="http://schemas.microsoft.com/office/drawing/2014/main" id="{B210223C-7E90-4E18-B1C9-AF0ABA109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14</xdr:col>
      <xdr:colOff>359833</xdr:colOff>
      <xdr:row>38</xdr:row>
      <xdr:rowOff>1</xdr:rowOff>
    </xdr:from>
    <xdr:to>
      <xdr:col>19</xdr:col>
      <xdr:colOff>465667</xdr:colOff>
      <xdr:row>50</xdr:row>
      <xdr:rowOff>158751</xdr:rowOff>
    </xdr:to>
    <xdr:graphicFrame macro="">
      <xdr:nvGraphicFramePr>
        <xdr:cNvPr id="13" name="Chart 12">
          <a:extLst>
            <a:ext uri="{FF2B5EF4-FFF2-40B4-BE49-F238E27FC236}">
              <a16:creationId xmlns:a16="http://schemas.microsoft.com/office/drawing/2014/main" id="{7D04A9A7-25CE-47D7-9B21-B2FC797E1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497416</xdr:colOff>
      <xdr:row>26</xdr:row>
      <xdr:rowOff>31750</xdr:rowOff>
    </xdr:from>
    <xdr:to>
      <xdr:col>19</xdr:col>
      <xdr:colOff>486833</xdr:colOff>
      <xdr:row>37</xdr:row>
      <xdr:rowOff>116416</xdr:rowOff>
    </xdr:to>
    <xdr:graphicFrame macro="">
      <xdr:nvGraphicFramePr>
        <xdr:cNvPr id="15" name="Chart 14">
          <a:extLst>
            <a:ext uri="{FF2B5EF4-FFF2-40B4-BE49-F238E27FC236}">
              <a16:creationId xmlns:a16="http://schemas.microsoft.com/office/drawing/2014/main" id="{1E5EF07A-F9E0-4C32-84DD-710BE5BE9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368440</xdr:colOff>
      <xdr:row>37</xdr:row>
      <xdr:rowOff>158750</xdr:rowOff>
    </xdr:from>
    <xdr:to>
      <xdr:col>8</xdr:col>
      <xdr:colOff>535912</xdr:colOff>
      <xdr:row>50</xdr:row>
      <xdr:rowOff>175845</xdr:rowOff>
    </xdr:to>
    <xdr:graphicFrame macro="">
      <xdr:nvGraphicFramePr>
        <xdr:cNvPr id="16" name="Chart 15">
          <a:extLst>
            <a:ext uri="{FF2B5EF4-FFF2-40B4-BE49-F238E27FC236}">
              <a16:creationId xmlns:a16="http://schemas.microsoft.com/office/drawing/2014/main" id="{176DCDEC-42B0-41B9-B4BF-E5F61E862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25120</xdr:colOff>
      <xdr:row>37</xdr:row>
      <xdr:rowOff>169333</xdr:rowOff>
    </xdr:from>
    <xdr:to>
      <xdr:col>14</xdr:col>
      <xdr:colOff>251209</xdr:colOff>
      <xdr:row>51</xdr:row>
      <xdr:rowOff>25120</xdr:rowOff>
    </xdr:to>
    <xdr:graphicFrame macro="">
      <xdr:nvGraphicFramePr>
        <xdr:cNvPr id="17" name="Chart 16">
          <a:extLst>
            <a:ext uri="{FF2B5EF4-FFF2-40B4-BE49-F238E27FC236}">
              <a16:creationId xmlns:a16="http://schemas.microsoft.com/office/drawing/2014/main" id="{982B4DC0-3F39-42B5-A567-6846AB94E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133977</xdr:colOff>
      <xdr:row>22</xdr:row>
      <xdr:rowOff>1745</xdr:rowOff>
    </xdr:from>
    <xdr:to>
      <xdr:col>3</xdr:col>
      <xdr:colOff>117230</xdr:colOff>
      <xdr:row>32</xdr:row>
      <xdr:rowOff>38579</xdr:rowOff>
    </xdr:to>
    <mc:AlternateContent xmlns:mc="http://schemas.openxmlformats.org/markup-compatibility/2006">
      <mc:Choice xmlns:a14="http://schemas.microsoft.com/office/drawing/2010/main" Requires="a14">
        <xdr:graphicFrame macro="">
          <xdr:nvGraphicFramePr>
            <xdr:cNvPr id="18" name="Location 1">
              <a:extLst>
                <a:ext uri="{FF2B5EF4-FFF2-40B4-BE49-F238E27FC236}">
                  <a16:creationId xmlns:a16="http://schemas.microsoft.com/office/drawing/2014/main" id="{16C00985-017B-44BF-B0C8-D4E8BA42B07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33977" y="3959912"/>
              <a:ext cx="1824753" cy="18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133978</xdr:colOff>
      <xdr:row>17</xdr:row>
      <xdr:rowOff>59081</xdr:rowOff>
    </xdr:from>
    <xdr:to>
      <xdr:col>3</xdr:col>
      <xdr:colOff>125760</xdr:colOff>
      <xdr:row>21</xdr:row>
      <xdr:rowOff>167414</xdr:rowOff>
    </xdr:to>
    <mc:AlternateContent xmlns:mc="http://schemas.openxmlformats.org/markup-compatibility/2006">
      <mc:Choice xmlns:a14="http://schemas.microsoft.com/office/drawing/2010/main" Requires="a14">
        <xdr:graphicFrame macro="">
          <xdr:nvGraphicFramePr>
            <xdr:cNvPr id="19" name="Product type 1">
              <a:extLst>
                <a:ext uri="{FF2B5EF4-FFF2-40B4-BE49-F238E27FC236}">
                  <a16:creationId xmlns:a16="http://schemas.microsoft.com/office/drawing/2014/main" id="{96D8BDC8-24F7-482E-A7E6-F505230EC64F}"/>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133978" y="3117664"/>
              <a:ext cx="1833282"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142352</xdr:colOff>
      <xdr:row>32</xdr:row>
      <xdr:rowOff>43264</xdr:rowOff>
    </xdr:from>
    <xdr:to>
      <xdr:col>3</xdr:col>
      <xdr:colOff>108528</xdr:colOff>
      <xdr:row>41</xdr:row>
      <xdr:rowOff>8014</xdr:rowOff>
    </xdr:to>
    <mc:AlternateContent xmlns:mc="http://schemas.openxmlformats.org/markup-compatibility/2006">
      <mc:Choice xmlns:a14="http://schemas.microsoft.com/office/drawing/2010/main" Requires="a14">
        <xdr:graphicFrame macro="">
          <xdr:nvGraphicFramePr>
            <xdr:cNvPr id="20" name="Customer demographics 1">
              <a:extLst>
                <a:ext uri="{FF2B5EF4-FFF2-40B4-BE49-F238E27FC236}">
                  <a16:creationId xmlns:a16="http://schemas.microsoft.com/office/drawing/2014/main" id="{1730F3AE-294E-4D85-BC44-03DC40A022C5}"/>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dr:sp macro="" textlink="">
          <xdr:nvSpPr>
            <xdr:cNvPr id="0" name=""/>
            <xdr:cNvSpPr>
              <a:spLocks noTextEdit="1"/>
            </xdr:cNvSpPr>
          </xdr:nvSpPr>
          <xdr:spPr>
            <a:xfrm>
              <a:off x="142352" y="5800597"/>
              <a:ext cx="1807676"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127815</xdr:colOff>
      <xdr:row>41</xdr:row>
      <xdr:rowOff>75013</xdr:rowOff>
    </xdr:from>
    <xdr:to>
      <xdr:col>3</xdr:col>
      <xdr:colOff>122791</xdr:colOff>
      <xdr:row>48</xdr:row>
      <xdr:rowOff>75596</xdr:rowOff>
    </xdr:to>
    <mc:AlternateContent xmlns:mc="http://schemas.openxmlformats.org/markup-compatibility/2006">
      <mc:Choice xmlns:a14="http://schemas.microsoft.com/office/drawing/2010/main" Requires="a14">
        <xdr:graphicFrame macro="">
          <xdr:nvGraphicFramePr>
            <xdr:cNvPr id="21" name="Inspection results 1">
              <a:extLst>
                <a:ext uri="{FF2B5EF4-FFF2-40B4-BE49-F238E27FC236}">
                  <a16:creationId xmlns:a16="http://schemas.microsoft.com/office/drawing/2014/main" id="{ADC38938-05FE-4115-A313-377FF67B9307}"/>
                </a:ext>
              </a:extLst>
            </xdr:cNvPr>
            <xdr:cNvGraphicFramePr/>
          </xdr:nvGraphicFramePr>
          <xdr:xfrm>
            <a:off x="0" y="0"/>
            <a:ext cx="0" cy="0"/>
          </xdr:xfrm>
          <a:graphic>
            <a:graphicData uri="http://schemas.microsoft.com/office/drawing/2010/slicer">
              <sle:slicer xmlns:sle="http://schemas.microsoft.com/office/drawing/2010/slicer" name="Inspection results 1"/>
            </a:graphicData>
          </a:graphic>
        </xdr:graphicFrame>
      </mc:Choice>
      <mc:Fallback>
        <xdr:sp macro="" textlink="">
          <xdr:nvSpPr>
            <xdr:cNvPr id="0" name=""/>
            <xdr:cNvSpPr>
              <a:spLocks noTextEdit="1"/>
            </xdr:cNvSpPr>
          </xdr:nvSpPr>
          <xdr:spPr>
            <a:xfrm>
              <a:off x="127815" y="7451596"/>
              <a:ext cx="1836476"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nit singh" refreshedDate="46273.818267592593" createdVersion="8" refreshedVersion="8" minRefreshableVersion="3" recordCount="100" xr:uid="{73E5BF25-8446-4F6F-B199-2B492A09DA69}">
  <cacheSource type="worksheet">
    <worksheetSource name="Table1"/>
  </cacheSource>
  <cacheFields count="29">
    <cacheField name="Product type" numFmtId="0">
      <sharedItems count="3">
        <s v="haircare"/>
        <s v="skincare"/>
        <s v="cosmetics"/>
      </sharedItems>
    </cacheField>
    <cacheField name="SKU" numFmtId="0">
      <sharedItems/>
    </cacheField>
    <cacheField name="Price" numFmtId="165">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5">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 supplier_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165">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order _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65">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0">
      <sharedItems containsSemiMixedTypes="0" containsString="0" containsNumber="1" minValue="103.916247960704" maxValue="997.41345013319403"/>
    </cacheField>
    <cacheField name="total cost" numFmtId="1">
      <sharedItems containsSemiMixedTypes="0" containsString="0" containsNumber="1" minValue="4834.3868252406219" maxValue="5731.1373126170174"/>
    </cacheField>
    <cacheField name="gross profit" numFmtId="165">
      <sharedItems containsSemiMixedTypes="0" containsString="0" containsNumber="1" minValue="-3984.9187973406674" maxValue="4701.1055406884925"/>
    </cacheField>
    <cacheField name="gross profit % margin" numFmtId="10">
      <sharedItems containsSemiMixedTypes="0" containsString="0" containsNumber="1" minValue="1056.8648971006219" maxValue="9865.9154702799005"/>
    </cacheField>
    <cacheField name="toal lead time" numFmtId="0">
      <sharedItems containsSemiMixedTypes="0" containsString="0" containsNumber="1" containsInteger="1" minValue="11" maxValue="63"/>
    </cacheField>
    <cacheField name="lead time risk category" numFmtId="0">
      <sharedItems/>
    </cacheField>
  </cacheFields>
  <extLst>
    <ext xmlns:x14="http://schemas.microsoft.com/office/spreadsheetml/2009/9/main" uri="{725AE2AE-9491-48be-B2B4-4EB974FC3084}">
      <x14:pivotCacheDefinition pivotCacheId="1508033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x v="0"/>
    <n v="58"/>
    <n v="7"/>
    <n v="96"/>
    <n v="4"/>
    <s v="Carrier B"/>
    <n v="2.9565721394308002"/>
    <x v="0"/>
    <x v="0"/>
    <n v="29"/>
    <n v="215"/>
    <n v="29"/>
    <n v="46.279879240508301"/>
    <x v="0"/>
    <n v="0.226410360849925"/>
    <x v="0"/>
    <x v="0"/>
    <n v="187.75207545920301"/>
    <n v="4917.3779717456209"/>
    <n v="3744.6188206467586"/>
    <n v="8661.4290967340221"/>
    <n v="40"/>
    <s v="moderate"/>
  </r>
  <r>
    <x v="1"/>
    <s v="SKU1"/>
    <n v="14.8435232750843"/>
    <n v="95"/>
    <n v="736"/>
    <n v="7460.9000654458396"/>
    <x v="1"/>
    <n v="53"/>
    <n v="30"/>
    <n v="37"/>
    <n v="2"/>
    <s v="Carrier A"/>
    <n v="9.7165747714313095"/>
    <x v="0"/>
    <x v="0"/>
    <n v="23"/>
    <n v="517"/>
    <n v="30"/>
    <n v="33.616768953730002"/>
    <x v="0"/>
    <n v="4.8540680263886999"/>
    <x v="0"/>
    <x v="0"/>
    <n v="503.06557914966902"/>
    <n v="5239.4514780680875"/>
    <n v="2221.4485873777521"/>
    <n v="7460.1978108341827"/>
    <n v="62"/>
    <s v="high risk"/>
  </r>
  <r>
    <x v="0"/>
    <s v="SKU2"/>
    <n v="11.319683293090501"/>
    <n v="34"/>
    <n v="8"/>
    <n v="9577.7496258687297"/>
    <x v="2"/>
    <n v="1"/>
    <n v="10"/>
    <n v="88"/>
    <n v="2"/>
    <s v="Carrier B"/>
    <n v="8.0544792617321495"/>
    <x v="1"/>
    <x v="0"/>
    <n v="12"/>
    <n v="971"/>
    <n v="27"/>
    <n v="30.6880193482842"/>
    <x v="0"/>
    <n v="4.5805926191992201"/>
    <x v="1"/>
    <x v="1"/>
    <n v="141.920281771519"/>
    <n v="4876.6440851802372"/>
    <n v="4701.1055406884925"/>
    <n v="9577.2404619966637"/>
    <n v="39"/>
    <s v="moderate"/>
  </r>
  <r>
    <x v="1"/>
    <s v="SKU3"/>
    <n v="61.1633430164377"/>
    <n v="68"/>
    <n v="83"/>
    <n v="7766.8364256852301"/>
    <x v="0"/>
    <n v="23"/>
    <n v="13"/>
    <n v="59"/>
    <n v="6"/>
    <s v="Carrier C"/>
    <n v="1.7295685635434199"/>
    <x v="2"/>
    <x v="1"/>
    <n v="24"/>
    <n v="937"/>
    <n v="18"/>
    <n v="35.624741397125"/>
    <x v="1"/>
    <n v="4.7466486206477496"/>
    <x v="2"/>
    <x v="2"/>
    <n v="254.776159219286"/>
    <n v="4983.1750519298166"/>
    <n v="2783.6613737554135"/>
    <n v="7766.194829187144"/>
    <n v="37"/>
    <s v="moderate"/>
  </r>
  <r>
    <x v="1"/>
    <s v="SKU4"/>
    <n v="4.8054960363458896"/>
    <n v="26"/>
    <n v="871"/>
    <n v="2686.50515156744"/>
    <x v="0"/>
    <n v="5"/>
    <n v="3"/>
    <n v="56"/>
    <n v="8"/>
    <s v="Carrier A"/>
    <n v="3.8905479158706702"/>
    <x v="1"/>
    <x v="2"/>
    <n v="5"/>
    <n v="414"/>
    <n v="3"/>
    <n v="92.065160598712794"/>
    <x v="1"/>
    <n v="3.1455795228330001"/>
    <x v="1"/>
    <x v="2"/>
    <n v="923.44063171192204"/>
    <n v="5654.0005037747787"/>
    <n v="-2967.4953522073388"/>
    <n v="2684.4005583562653"/>
    <n v="14"/>
    <s v="optimal"/>
  </r>
  <r>
    <x v="0"/>
    <s v="SKU5"/>
    <n v="1.6999760138659299"/>
    <n v="87"/>
    <n v="147"/>
    <n v="2828.3487459757498"/>
    <x v="0"/>
    <n v="90"/>
    <n v="27"/>
    <n v="66"/>
    <n v="3"/>
    <s v="Carrier B"/>
    <n v="4.4440988643822896"/>
    <x v="3"/>
    <x v="3"/>
    <n v="10"/>
    <n v="104"/>
    <n v="17"/>
    <n v="56.766475557431797"/>
    <x v="1"/>
    <n v="2.7791935115711599"/>
    <x v="0"/>
    <x v="2"/>
    <n v="235.461236735537"/>
    <n v="4966.5746597469051"/>
    <n v="-2138.2259137711553"/>
    <n v="2826.5927480045611"/>
    <n v="47"/>
    <s v="moderate"/>
  </r>
  <r>
    <x v="1"/>
    <s v="SKU6"/>
    <n v="4.0783328631079403"/>
    <n v="48"/>
    <n v="65"/>
    <n v="7823.4765595317303"/>
    <x v="3"/>
    <n v="11"/>
    <n v="15"/>
    <n v="58"/>
    <n v="8"/>
    <s v="Carrier C"/>
    <n v="3.8807633029519999"/>
    <x v="0"/>
    <x v="1"/>
    <n v="14"/>
    <n v="314"/>
    <n v="24"/>
    <n v="1.0850685695870601"/>
    <x v="0"/>
    <n v="1.0009106193041299"/>
    <x v="3"/>
    <x v="2"/>
    <n v="134.36909686103101"/>
    <n v="4864.9191843109693"/>
    <n v="2958.5573752207611"/>
    <n v="7822.8547235554488"/>
    <n v="47"/>
    <s v="moderate"/>
  </r>
  <r>
    <x v="2"/>
    <s v="SKU7"/>
    <n v="42.958384382459997"/>
    <n v="59"/>
    <n v="426"/>
    <n v="8496.1038130898305"/>
    <x v="1"/>
    <n v="93"/>
    <n v="17"/>
    <n v="11"/>
    <n v="1"/>
    <s v="Carrier B"/>
    <n v="2.3483387844177801"/>
    <x v="3"/>
    <x v="3"/>
    <n v="22"/>
    <n v="564"/>
    <n v="1"/>
    <n v="99.466108603599096"/>
    <x v="1"/>
    <n v="0.39817718685065001"/>
    <x v="0"/>
    <x v="1"/>
    <n v="802.05631181755803"/>
    <n v="5531.0739747489624"/>
    <n v="2965.0298383408681"/>
    <n v="8495.4528000965311"/>
    <n v="19"/>
    <s v="optimal"/>
  </r>
  <r>
    <x v="2"/>
    <s v="SKU8"/>
    <n v="68.717596748527299"/>
    <n v="78"/>
    <n v="150"/>
    <n v="7517.3632106311197"/>
    <x v="1"/>
    <n v="5"/>
    <n v="10"/>
    <n v="15"/>
    <n v="7"/>
    <s v="Carrier C"/>
    <n v="3.4047338570830199"/>
    <x v="3"/>
    <x v="0"/>
    <n v="13"/>
    <n v="769"/>
    <n v="8"/>
    <n v="11.423027139565599"/>
    <x v="0"/>
    <n v="2.7098626911099601"/>
    <x v="3"/>
    <x v="0"/>
    <n v="505.55713422546398"/>
    <n v="5235.6311922295336"/>
    <n v="2281.7320184015862"/>
    <n v="7516.6667388702735"/>
    <n v="25"/>
    <s v="optimal"/>
  </r>
  <r>
    <x v="1"/>
    <s v="SKU9"/>
    <n v="64.0157329412785"/>
    <n v="35"/>
    <n v="980"/>
    <n v="4971.1459875855498"/>
    <x v="2"/>
    <n v="14"/>
    <n v="27"/>
    <n v="83"/>
    <n v="1"/>
    <s v="Carrier A"/>
    <n v="7.1666452910482104"/>
    <x v="4"/>
    <x v="4"/>
    <n v="29"/>
    <n v="963"/>
    <n v="23"/>
    <n v="47.957601634951502"/>
    <x v="0"/>
    <n v="3.8446144787675798"/>
    <x v="2"/>
    <x v="0"/>
    <n v="995.92946149864099"/>
    <n v="5729.7654309366762"/>
    <n v="-758.61944335112639"/>
    <n v="4969.9933830462251"/>
    <n v="51"/>
    <s v="high risk"/>
  </r>
  <r>
    <x v="1"/>
    <s v="SKU10"/>
    <n v="15.707795681912099"/>
    <n v="11"/>
    <n v="996"/>
    <n v="2330.9658020919401"/>
    <x v="0"/>
    <n v="51"/>
    <n v="13"/>
    <n v="80"/>
    <n v="2"/>
    <s v="Carrier C"/>
    <n v="8.6732112112786108"/>
    <x v="2"/>
    <x v="1"/>
    <n v="18"/>
    <n v="830"/>
    <n v="5"/>
    <n v="96.527352785310896"/>
    <x v="2"/>
    <n v="1.72731392835594"/>
    <x v="0"/>
    <x v="0"/>
    <n v="806.10317770292295"/>
    <n v="5541.4457130611881"/>
    <n v="-3210.4799109692481"/>
    <n v="2328.5884846263266"/>
    <n v="20"/>
    <s v="optimal"/>
  </r>
  <r>
    <x v="1"/>
    <s v="SKU11"/>
    <n v="90.635459982288594"/>
    <n v="95"/>
    <n v="960"/>
    <n v="6099.9441155814502"/>
    <x v="1"/>
    <n v="46"/>
    <n v="23"/>
    <n v="60"/>
    <n v="1"/>
    <s v="Carrier A"/>
    <n v="4.5239431243166601"/>
    <x v="4"/>
    <x v="1"/>
    <n v="28"/>
    <n v="362"/>
    <n v="11"/>
    <n v="27.5923630866636"/>
    <x v="0"/>
    <n v="2.1169821372994301E-2"/>
    <x v="1"/>
    <x v="2"/>
    <n v="126.72303340940699"/>
    <n v="4857.9163006807103"/>
    <n v="1242.0278149007399"/>
    <n v="6099.1477285640231"/>
    <n v="35"/>
    <s v="moderate"/>
  </r>
  <r>
    <x v="0"/>
    <s v="SKU12"/>
    <n v="71.213389075359999"/>
    <n v="41"/>
    <n v="336"/>
    <n v="2873.74144602144"/>
    <x v="2"/>
    <n v="100"/>
    <n v="30"/>
    <n v="85"/>
    <n v="4"/>
    <s v="Carrier A"/>
    <n v="1.32527401018452"/>
    <x v="3"/>
    <x v="1"/>
    <n v="3"/>
    <n v="563"/>
    <n v="3"/>
    <n v="32.321286213424003"/>
    <x v="1"/>
    <n v="2.1612537475559099"/>
    <x v="0"/>
    <x v="0"/>
    <n v="402.96878907376998"/>
    <n v="5130.9633872309405"/>
    <n v="-2257.2219412095005"/>
    <n v="2871.9559815029343"/>
    <n v="37"/>
    <s v="moderate"/>
  </r>
  <r>
    <x v="1"/>
    <s v="SKU13"/>
    <n v="16.160393317379899"/>
    <n v="5"/>
    <n v="249"/>
    <n v="4052.7384162378598"/>
    <x v="3"/>
    <n v="80"/>
    <n v="8"/>
    <n v="48"/>
    <n v="9"/>
    <s v="Carrier A"/>
    <n v="9.5372830611083295"/>
    <x v="2"/>
    <x v="3"/>
    <n v="23"/>
    <n v="173"/>
    <n v="10"/>
    <n v="97.829050110173199"/>
    <x v="0"/>
    <n v="1.63107423007153"/>
    <x v="0"/>
    <x v="0"/>
    <n v="547.24100516096803"/>
    <n v="5283.4476123690629"/>
    <n v="-1230.709196131203"/>
    <n v="4051.4347427534817"/>
    <n v="27"/>
    <s v="optimal"/>
  </r>
  <r>
    <x v="1"/>
    <s v="SKU14"/>
    <n v="99.171328638624104"/>
    <n v="26"/>
    <n v="562"/>
    <n v="8653.5709264697998"/>
    <x v="0"/>
    <n v="54"/>
    <n v="29"/>
    <n v="78"/>
    <n v="5"/>
    <s v="Carrier B"/>
    <n v="2.0397701894493299"/>
    <x v="1"/>
    <x v="1"/>
    <n v="25"/>
    <n v="558"/>
    <n v="14"/>
    <n v="5.7914366298629796"/>
    <x v="0"/>
    <n v="0.100682851565093"/>
    <x v="1"/>
    <x v="0"/>
    <n v="929.23528996088896"/>
    <n v="5657.9443842973242"/>
    <n v="2995.6265421724756"/>
    <n v="8652.9170987687994"/>
    <n v="48"/>
    <s v="moderate"/>
  </r>
  <r>
    <x v="1"/>
    <s v="SKU15"/>
    <n v="36.989244928626903"/>
    <n v="94"/>
    <n v="469"/>
    <n v="5442.0867853976697"/>
    <x v="0"/>
    <n v="9"/>
    <n v="8"/>
    <n v="69"/>
    <n v="7"/>
    <s v="Carrier B"/>
    <n v="2.4220397232752"/>
    <x v="1"/>
    <x v="3"/>
    <n v="14"/>
    <n v="580"/>
    <n v="7"/>
    <n v="97.121281751474299"/>
    <x v="2"/>
    <n v="2.2644057611985402"/>
    <x v="3"/>
    <x v="0"/>
    <n v="127.861800001625"/>
    <n v="4856.9531638718863"/>
    <n v="585.13362152578338"/>
    <n v="5441.1943054804251"/>
    <n v="22"/>
    <s v="optimal"/>
  </r>
  <r>
    <x v="1"/>
    <s v="SKU16"/>
    <n v="7.5471721097912701"/>
    <n v="74"/>
    <n v="280"/>
    <n v="6453.7979681762799"/>
    <x v="1"/>
    <n v="2"/>
    <n v="5"/>
    <n v="78"/>
    <n v="1"/>
    <s v="Carrier B"/>
    <n v="4.1913245857054999"/>
    <x v="1"/>
    <x v="3"/>
    <n v="3"/>
    <n v="399"/>
    <n v="21"/>
    <n v="77.106342497849994"/>
    <x v="2"/>
    <n v="1.01256308925804"/>
    <x v="1"/>
    <x v="2"/>
    <n v="865.52577977123997"/>
    <n v="5596.3864285039326"/>
    <n v="857.41153967234732"/>
    <n v="6452.930821969333"/>
    <n v="27"/>
    <s v="optimal"/>
  </r>
  <r>
    <x v="2"/>
    <s v="SKU17"/>
    <n v="81.462534369237005"/>
    <n v="82"/>
    <n v="126"/>
    <n v="2629.39643484526"/>
    <x v="1"/>
    <n v="45"/>
    <n v="17"/>
    <n v="85"/>
    <n v="9"/>
    <s v="Carrier C"/>
    <n v="3.5854189582323399"/>
    <x v="1"/>
    <x v="4"/>
    <n v="7"/>
    <n v="453"/>
    <n v="16"/>
    <n v="47.679680368355299"/>
    <x v="1"/>
    <n v="0.102020754918176"/>
    <x v="1"/>
    <x v="1"/>
    <n v="670.93439079241"/>
    <n v="5401.1891338976293"/>
    <n v="-2771.7926990523692"/>
    <n v="2627.3422793507443"/>
    <n v="42"/>
    <s v="moderate"/>
  </r>
  <r>
    <x v="0"/>
    <s v="SKU18"/>
    <n v="36.4436277704609"/>
    <n v="23"/>
    <n v="620"/>
    <n v="9364.6735050761708"/>
    <x v="2"/>
    <n v="10"/>
    <n v="10"/>
    <n v="46"/>
    <n v="8"/>
    <s v="Carrier C"/>
    <n v="4.3392247141107001"/>
    <x v="4"/>
    <x v="1"/>
    <n v="18"/>
    <n v="374"/>
    <n v="17"/>
    <n v="27.107980854843898"/>
    <x v="0"/>
    <n v="2.2319391107292601"/>
    <x v="3"/>
    <x v="2"/>
    <n v="593.48025872065102"/>
    <n v="5324.4888075817489"/>
    <n v="4040.1846974944219"/>
    <n v="9364.1049333256778"/>
    <n v="35"/>
    <s v="moderate"/>
  </r>
  <r>
    <x v="1"/>
    <s v="SKU19"/>
    <n v="51.123870087964697"/>
    <n v="100"/>
    <n v="187"/>
    <n v="2553.4955849912099"/>
    <x v="2"/>
    <n v="48"/>
    <n v="11"/>
    <n v="94"/>
    <n v="3"/>
    <s v="Carrier A"/>
    <n v="4.7426358828418698"/>
    <x v="3"/>
    <x v="4"/>
    <n v="20"/>
    <n v="694"/>
    <n v="16"/>
    <n v="82.373320587990193"/>
    <x v="1"/>
    <n v="3.64645086541702"/>
    <x v="0"/>
    <x v="1"/>
    <n v="477.30763109090299"/>
    <n v="5208.7195911207309"/>
    <n v="-2655.2240061295211"/>
    <n v="2551.4557461045729"/>
    <n v="30"/>
    <s v="moderate"/>
  </r>
  <r>
    <x v="1"/>
    <s v="SKU20"/>
    <n v="96.341072439963298"/>
    <n v="22"/>
    <n v="320"/>
    <n v="8128.0276968511898"/>
    <x v="2"/>
    <n v="27"/>
    <n v="12"/>
    <n v="68"/>
    <n v="6"/>
    <s v="Carrier A"/>
    <n v="8.8783346509268402"/>
    <x v="1"/>
    <x v="4"/>
    <n v="29"/>
    <n v="309"/>
    <n v="6"/>
    <n v="65.686259608488598"/>
    <x v="2"/>
    <n v="4.2314165735345304"/>
    <x v="1"/>
    <x v="0"/>
    <n v="493.871215316205"/>
    <n v="5229.4188741141188"/>
    <n v="2898.608822737071"/>
    <n v="8127.3843158159434"/>
    <n v="24"/>
    <s v="optimal"/>
  </r>
  <r>
    <x v="2"/>
    <s v="SKU21"/>
    <n v="84.893868984950799"/>
    <n v="60"/>
    <n v="601"/>
    <n v="7087.0526963574302"/>
    <x v="2"/>
    <n v="69"/>
    <n v="25"/>
    <n v="7"/>
    <n v="6"/>
    <s v="Carrier B"/>
    <n v="6.0378837692182898"/>
    <x v="2"/>
    <x v="4"/>
    <n v="19"/>
    <n v="791"/>
    <n v="4"/>
    <n v="61.735728954160898"/>
    <x v="0"/>
    <n v="1.8607567631014899E-2"/>
    <x v="1"/>
    <x v="1"/>
    <n v="523.36091472015801"/>
    <n v="5256.0681226363622"/>
    <n v="1830.984573721068"/>
    <n v="7086.3110526378432"/>
    <n v="35"/>
    <s v="moderate"/>
  </r>
  <r>
    <x v="0"/>
    <s v="SKU22"/>
    <n v="27.679780886501899"/>
    <n v="55"/>
    <n v="884"/>
    <n v="2390.8078665561702"/>
    <x v="2"/>
    <n v="71"/>
    <n v="1"/>
    <n v="63"/>
    <n v="10"/>
    <s v="Carrier A"/>
    <n v="9.5676489209230393"/>
    <x v="3"/>
    <x v="1"/>
    <n v="22"/>
    <n v="780"/>
    <n v="28"/>
    <n v="50.120839612977299"/>
    <x v="1"/>
    <n v="2.5912754732111098"/>
    <x v="2"/>
    <x v="1"/>
    <n v="205.57199582694699"/>
    <n v="4941.8089688948567"/>
    <n v="-2551.0011023386865"/>
    <n v="2388.7408627462769"/>
    <n v="39"/>
    <s v="moderate"/>
  </r>
  <r>
    <x v="2"/>
    <s v="SKU23"/>
    <n v="4.3243411858641601"/>
    <n v="30"/>
    <n v="391"/>
    <n v="8858.3675710114803"/>
    <x v="2"/>
    <n v="84"/>
    <n v="5"/>
    <n v="29"/>
    <n v="7"/>
    <s v="Carrier A"/>
    <n v="2.92485760114555"/>
    <x v="2"/>
    <x v="1"/>
    <n v="11"/>
    <n v="568"/>
    <n v="29"/>
    <n v="98.6099572427038"/>
    <x v="0"/>
    <n v="1.3422915627227301"/>
    <x v="2"/>
    <x v="2"/>
    <n v="196.329446112412"/>
    <n v="4925.9236278605449"/>
    <n v="3932.4439431509354"/>
    <n v="8857.8114952347223"/>
    <n v="41"/>
    <s v="moderate"/>
  </r>
  <r>
    <x v="0"/>
    <s v="SKU24"/>
    <n v="4.1563083593111001"/>
    <n v="32"/>
    <n v="209"/>
    <n v="9049.0778609398894"/>
    <x v="3"/>
    <n v="4"/>
    <n v="26"/>
    <n v="2"/>
    <n v="8"/>
    <s v="Carrier C"/>
    <n v="9.7412916892843597"/>
    <x v="4"/>
    <x v="3"/>
    <n v="28"/>
    <n v="447"/>
    <n v="3"/>
    <n v="40.382359702924802"/>
    <x v="0"/>
    <n v="3.69131029262872"/>
    <x v="1"/>
    <x v="2"/>
    <n v="758.72477260293795"/>
    <n v="5495.1353884392092"/>
    <n v="3553.9424725006802"/>
    <n v="9048.4706017834451"/>
    <n v="37"/>
    <s v="moderate"/>
  </r>
  <r>
    <x v="0"/>
    <s v="SKU25"/>
    <n v="39.629343985092603"/>
    <n v="73"/>
    <n v="142"/>
    <n v="2174.7770543506499"/>
    <x v="3"/>
    <n v="82"/>
    <n v="11"/>
    <n v="52"/>
    <n v="3"/>
    <s v="Carrier C"/>
    <n v="2.2310736812817198"/>
    <x v="3"/>
    <x v="1"/>
    <n v="19"/>
    <n v="934"/>
    <n v="23"/>
    <n v="78.280383118415301"/>
    <x v="0"/>
    <n v="3.79723121711418"/>
    <x v="0"/>
    <x v="0"/>
    <n v="458.53594573920901"/>
    <n v="5187.4363435674768"/>
    <n v="-3012.6592892168269"/>
    <n v="2172.3917816473217"/>
    <n v="37"/>
    <s v="moderate"/>
  </r>
  <r>
    <x v="0"/>
    <s v="SKU26"/>
    <n v="97.446946617892806"/>
    <n v="9"/>
    <n v="353"/>
    <n v="3716.49332589403"/>
    <x v="3"/>
    <n v="59"/>
    <n v="16"/>
    <n v="48"/>
    <n v="4"/>
    <s v="Carrier B"/>
    <n v="6.5075486210785503"/>
    <x v="4"/>
    <x v="3"/>
    <n v="26"/>
    <n v="171"/>
    <n v="4"/>
    <n v="15.972229757181699"/>
    <x v="2"/>
    <n v="2.1193197367249201"/>
    <x v="2"/>
    <x v="2"/>
    <n v="617.86691645837698"/>
    <n v="5351.0437892264426"/>
    <n v="-1634.5504633324126"/>
    <n v="3715.0535160195054"/>
    <n v="24"/>
    <s v="optimal"/>
  </r>
  <r>
    <x v="2"/>
    <s v="SKU27"/>
    <n v="92.557360812401996"/>
    <n v="42"/>
    <n v="352"/>
    <n v="2686.4572235759802"/>
    <x v="2"/>
    <n v="47"/>
    <n v="9"/>
    <n v="62"/>
    <n v="8"/>
    <s v="Carrier C"/>
    <n v="7.4067509529980704"/>
    <x v="2"/>
    <x v="0"/>
    <n v="25"/>
    <n v="291"/>
    <n v="4"/>
    <n v="10.5282450700421"/>
    <x v="1"/>
    <n v="2.8646678378833701"/>
    <x v="3"/>
    <x v="0"/>
    <n v="762.45918215568304"/>
    <n v="5496.5352572556676"/>
    <n v="-2810.0780336796875"/>
    <n v="2684.4112072802363"/>
    <n v="21"/>
    <s v="optimal"/>
  </r>
  <r>
    <x v="2"/>
    <s v="SKU28"/>
    <n v="2.3972747055971402"/>
    <n v="12"/>
    <n v="394"/>
    <n v="6117.3246150839896"/>
    <x v="1"/>
    <n v="48"/>
    <n v="15"/>
    <n v="24"/>
    <n v="4"/>
    <s v="Carrier B"/>
    <n v="9.8981405080692202"/>
    <x v="1"/>
    <x v="0"/>
    <n v="13"/>
    <n v="171"/>
    <n v="7"/>
    <n v="59.429381810691503"/>
    <x v="1"/>
    <n v="0.81575707929567198"/>
    <x v="1"/>
    <x v="2"/>
    <n v="123.437027511827"/>
    <n v="4860.0044921668832"/>
    <n v="1257.3201229171063"/>
    <n v="6116.5301493987481"/>
    <n v="26"/>
    <s v="optimal"/>
  </r>
  <r>
    <x v="2"/>
    <s v="SKU29"/>
    <n v="63.447559185207297"/>
    <n v="3"/>
    <n v="253"/>
    <n v="8318.9031946171708"/>
    <x v="1"/>
    <n v="45"/>
    <n v="5"/>
    <n v="67"/>
    <n v="7"/>
    <s v="Carrier B"/>
    <n v="8.1009731453970293"/>
    <x v="1"/>
    <x v="1"/>
    <n v="16"/>
    <n v="329"/>
    <n v="7"/>
    <n v="39.292875586065698"/>
    <x v="2"/>
    <n v="3.8780989365884802"/>
    <x v="0"/>
    <x v="0"/>
    <n v="764.93537594070801"/>
    <n v="5499.7056732330911"/>
    <n v="2819.1975213840797"/>
    <n v="8318.242085148222"/>
    <n v="19"/>
    <s v="optimal"/>
  </r>
  <r>
    <x v="0"/>
    <s v="SKU30"/>
    <n v="8.0228592105263896"/>
    <n v="10"/>
    <n v="327"/>
    <n v="2766.3423668660798"/>
    <x v="3"/>
    <n v="60"/>
    <n v="26"/>
    <n v="35"/>
    <n v="7"/>
    <s v="Carrier B"/>
    <n v="8.9545283153180097"/>
    <x v="3"/>
    <x v="1"/>
    <n v="27"/>
    <n v="806"/>
    <n v="30"/>
    <n v="51.634893400109299"/>
    <x v="0"/>
    <n v="0.96539470535239302"/>
    <x v="0"/>
    <x v="1"/>
    <n v="880.08098824716103"/>
    <n v="5615.7048407094662"/>
    <n v="-2849.3624738433864"/>
    <n v="2764.3123560807294"/>
    <n v="63"/>
    <s v="high risk"/>
  </r>
  <r>
    <x v="1"/>
    <s v="SKU31"/>
    <n v="50.847393051718697"/>
    <n v="28"/>
    <n v="168"/>
    <n v="9655.1351027193905"/>
    <x v="3"/>
    <n v="6"/>
    <n v="17"/>
    <n v="44"/>
    <n v="4"/>
    <s v="Carrier B"/>
    <n v="2.6796609649813998"/>
    <x v="0"/>
    <x v="4"/>
    <n v="24"/>
    <n v="461"/>
    <n v="8"/>
    <n v="60.251145661598002"/>
    <x v="0"/>
    <n v="2.9890000066550702"/>
    <x v="2"/>
    <x v="1"/>
    <n v="609.379206618426"/>
    <n v="5338.7281917303944"/>
    <n v="4316.4069109889961"/>
    <n v="9654.5821608770511"/>
    <n v="29"/>
    <s v="optimal"/>
  </r>
  <r>
    <x v="1"/>
    <s v="SKU32"/>
    <n v="79.209936015656695"/>
    <n v="43"/>
    <n v="781"/>
    <n v="9571.5504873278096"/>
    <x v="2"/>
    <n v="89"/>
    <n v="13"/>
    <n v="64"/>
    <n v="4"/>
    <s v="Carrier C"/>
    <n v="6.5991049012385803"/>
    <x v="0"/>
    <x v="1"/>
    <n v="30"/>
    <n v="737"/>
    <n v="7"/>
    <n v="29.6924671537497"/>
    <x v="2"/>
    <n v="1.94603611938611"/>
    <x v="0"/>
    <x v="2"/>
    <n v="761.17390951487698"/>
    <n v="5494.4423385631017"/>
    <n v="4077.1081487647079"/>
    <n v="9570.9764484251427"/>
    <n v="24"/>
    <s v="optimal"/>
  </r>
  <r>
    <x v="2"/>
    <s v="SKU33"/>
    <n v="64.795435000155607"/>
    <n v="63"/>
    <n v="616"/>
    <n v="5149.9983504080301"/>
    <x v="0"/>
    <n v="4"/>
    <n v="17"/>
    <n v="95"/>
    <n v="9"/>
    <s v="Carrier C"/>
    <n v="4.85827050343664"/>
    <x v="2"/>
    <x v="4"/>
    <n v="1"/>
    <n v="251"/>
    <n v="23"/>
    <n v="23.853427512896101"/>
    <x v="1"/>
    <n v="3.54104601225092"/>
    <x v="3"/>
    <x v="2"/>
    <n v="371.25529551987103"/>
    <n v="5102.7828901702942"/>
    <n v="47.215460237735897"/>
    <n v="5149.007518461498"/>
    <n v="49"/>
    <s v="moderate"/>
  </r>
  <r>
    <x v="1"/>
    <s v="SKU34"/>
    <n v="37.467592329842397"/>
    <n v="96"/>
    <n v="602"/>
    <n v="9061.7108955077201"/>
    <x v="2"/>
    <n v="1"/>
    <n v="26"/>
    <n v="21"/>
    <n v="7"/>
    <s v="Carrier A"/>
    <n v="1.0194875708221101"/>
    <x v="1"/>
    <x v="4"/>
    <n v="4"/>
    <n v="452"/>
    <n v="10"/>
    <n v="10.754272815029299"/>
    <x v="2"/>
    <n v="0.64660455937205397"/>
    <x v="0"/>
    <x v="0"/>
    <n v="510.35800043352299"/>
    <n v="5238.0468121513313"/>
    <n v="3823.6640833563888"/>
    <n v="9061.1328538031739"/>
    <n v="43"/>
    <s v="moderate"/>
  </r>
  <r>
    <x v="2"/>
    <s v="SKU35"/>
    <n v="84.957786816350406"/>
    <n v="11"/>
    <n v="449"/>
    <n v="6541.3293448024597"/>
    <x v="1"/>
    <n v="42"/>
    <n v="27"/>
    <n v="85"/>
    <n v="8"/>
    <s v="Carrier C"/>
    <n v="5.2881899903273997"/>
    <x v="1"/>
    <x v="2"/>
    <n v="3"/>
    <n v="367"/>
    <n v="2"/>
    <n v="58.004787044743701"/>
    <x v="2"/>
    <n v="0.54115409806058101"/>
    <x v="3"/>
    <x v="1"/>
    <n v="553.42047123035502"/>
    <n v="5285.3779853676697"/>
    <n v="1255.95135943479"/>
    <n v="6540.5213472675905"/>
    <n v="37"/>
    <s v="moderate"/>
  </r>
  <r>
    <x v="1"/>
    <s v="SKU36"/>
    <n v="9.81300257875405"/>
    <n v="34"/>
    <n v="963"/>
    <n v="7573.4024578487297"/>
    <x v="1"/>
    <n v="18"/>
    <n v="23"/>
    <n v="28"/>
    <n v="3"/>
    <s v="Carrier B"/>
    <n v="2.1079512671590801"/>
    <x v="4"/>
    <x v="2"/>
    <n v="26"/>
    <n v="671"/>
    <n v="19"/>
    <n v="45.531364237162101"/>
    <x v="1"/>
    <n v="3.8055333792433501"/>
    <x v="1"/>
    <x v="1"/>
    <n v="403.80897424817999"/>
    <n v="5132.5862496623258"/>
    <n v="2440.8162081864039"/>
    <n v="7572.7247457796529"/>
    <n v="45"/>
    <s v="moderate"/>
  </r>
  <r>
    <x v="1"/>
    <s v="SKU37"/>
    <n v="23.3998447526143"/>
    <n v="5"/>
    <n v="963"/>
    <n v="2438.3399304700201"/>
    <x v="1"/>
    <n v="25"/>
    <n v="8"/>
    <n v="21"/>
    <n v="9"/>
    <s v="Carrier A"/>
    <n v="1.53265527359043"/>
    <x v="0"/>
    <x v="1"/>
    <n v="24"/>
    <n v="867"/>
    <n v="15"/>
    <n v="34.343277465075303"/>
    <x v="0"/>
    <n v="2.61028808484811"/>
    <x v="3"/>
    <x v="2"/>
    <n v="183.932968043594"/>
    <n v="4912.1349474641711"/>
    <n v="-2473.795016994151"/>
    <n v="2436.3253898040198"/>
    <n v="32"/>
    <s v="moderate"/>
  </r>
  <r>
    <x v="2"/>
    <s v="SKU38"/>
    <n v="52.075930682707799"/>
    <n v="75"/>
    <n v="705"/>
    <n v="9692.3180402184298"/>
    <x v="0"/>
    <n v="69"/>
    <n v="1"/>
    <n v="88"/>
    <n v="5"/>
    <s v="Carrier B"/>
    <n v="9.2359314372492207"/>
    <x v="2"/>
    <x v="0"/>
    <n v="10"/>
    <n v="841"/>
    <n v="12"/>
    <n v="5.9306936455283097"/>
    <x v="0"/>
    <n v="0.613326899164507"/>
    <x v="1"/>
    <x v="0"/>
    <n v="339.67286994860598"/>
    <n v="5075.5781255328411"/>
    <n v="4616.7399146855887"/>
    <n v="9691.7943700185388"/>
    <n v="18"/>
    <s v="optimal"/>
  </r>
  <r>
    <x v="1"/>
    <s v="SKU39"/>
    <n v="19.127477265823199"/>
    <n v="26"/>
    <n v="176"/>
    <n v="1912.4656631007599"/>
    <x v="1"/>
    <n v="78"/>
    <n v="29"/>
    <n v="34"/>
    <n v="3"/>
    <s v="Carrier A"/>
    <n v="5.5625037788303802"/>
    <x v="4"/>
    <x v="1"/>
    <n v="30"/>
    <n v="791"/>
    <n v="6"/>
    <n v="9.0058074287816403"/>
    <x v="1"/>
    <n v="1.4519722039968099"/>
    <x v="1"/>
    <x v="0"/>
    <n v="653.67299455203295"/>
    <n v="5385.9048224778498"/>
    <n v="-3473.4391593770897"/>
    <n v="1909.6494531544097"/>
    <n v="38"/>
    <s v="moderate"/>
  </r>
  <r>
    <x v="1"/>
    <s v="SKU40"/>
    <n v="80.541424170940303"/>
    <n v="97"/>
    <n v="933"/>
    <n v="5724.9593504562599"/>
    <x v="1"/>
    <n v="90"/>
    <n v="20"/>
    <n v="39"/>
    <n v="8"/>
    <s v="Carrier C"/>
    <n v="7.2295951397364702"/>
    <x v="1"/>
    <x v="1"/>
    <n v="18"/>
    <n v="793"/>
    <n v="1"/>
    <n v="88.179407104217404"/>
    <x v="0"/>
    <n v="4.2132694305865597"/>
    <x v="0"/>
    <x v="2"/>
    <n v="529.80872398069096"/>
    <n v="5263.7076432674139"/>
    <n v="461.25170718884601"/>
    <n v="5724.0399190121143"/>
    <n v="29"/>
    <s v="optimal"/>
  </r>
  <r>
    <x v="1"/>
    <s v="SKU41"/>
    <n v="99.113291615317095"/>
    <n v="35"/>
    <n v="556"/>
    <n v="5521.2052590109697"/>
    <x v="1"/>
    <n v="64"/>
    <n v="19"/>
    <n v="38"/>
    <n v="8"/>
    <s v="Carrier B"/>
    <n v="5.7732637437666501"/>
    <x v="3"/>
    <x v="4"/>
    <n v="18"/>
    <n v="892"/>
    <n v="7"/>
    <n v="95.332064548772493"/>
    <x v="1"/>
    <n v="4.5302262398259602E-2"/>
    <x v="3"/>
    <x v="2"/>
    <n v="275.52437113130901"/>
    <n v="5007.9669590220619"/>
    <n v="513.23829998890778"/>
    <n v="5520.2982166671172"/>
    <n v="34"/>
    <s v="moderate"/>
  </r>
  <r>
    <x v="1"/>
    <s v="SKU42"/>
    <n v="46.529167614516702"/>
    <n v="98"/>
    <n v="155"/>
    <n v="1839.60942585676"/>
    <x v="1"/>
    <n v="22"/>
    <n v="27"/>
    <n v="57"/>
    <n v="4"/>
    <s v="Carrier C"/>
    <n v="7.5262483268515004"/>
    <x v="2"/>
    <x v="3"/>
    <n v="26"/>
    <n v="179"/>
    <n v="7"/>
    <n v="96.422820639571796"/>
    <x v="1"/>
    <n v="4.9392552886209398"/>
    <x v="0"/>
    <x v="2"/>
    <n v="635.65712050199102"/>
    <n v="5369.8526929758291"/>
    <n v="-3530.2432671190691"/>
    <n v="1836.6904080383581"/>
    <n v="38"/>
    <s v="moderate"/>
  </r>
  <r>
    <x v="0"/>
    <s v="SKU43"/>
    <n v="11.7432717763092"/>
    <n v="6"/>
    <n v="598"/>
    <n v="5737.4255991190203"/>
    <x v="2"/>
    <n v="36"/>
    <n v="29"/>
    <n v="85"/>
    <n v="9"/>
    <s v="Carrier B"/>
    <n v="3.6940212683884499"/>
    <x v="2"/>
    <x v="0"/>
    <n v="1"/>
    <n v="206"/>
    <n v="23"/>
    <n v="26.2773659573324"/>
    <x v="0"/>
    <n v="0.37230476798509698"/>
    <x v="1"/>
    <x v="2"/>
    <n v="716.04411975933999"/>
    <n v="5446.4074651747151"/>
    <n v="291.01813394430519"/>
    <n v="5736.476321891615"/>
    <n v="61"/>
    <s v="high risk"/>
  </r>
  <r>
    <x v="2"/>
    <s v="SKU44"/>
    <n v="51.355790913110297"/>
    <n v="34"/>
    <n v="919"/>
    <n v="7152.28604943551"/>
    <x v="1"/>
    <n v="13"/>
    <n v="19"/>
    <n v="72"/>
    <n v="6"/>
    <s v="Carrier C"/>
    <n v="7.5774496573766896"/>
    <x v="4"/>
    <x v="2"/>
    <n v="7"/>
    <n v="834"/>
    <n v="18"/>
    <n v="22.554106620887701"/>
    <x v="1"/>
    <n v="2.9626263204548802"/>
    <x v="2"/>
    <x v="2"/>
    <n v="610.45326961922694"/>
    <n v="5344.7000434235906"/>
    <n v="1807.5860060119194"/>
    <n v="7151.5387778629693"/>
    <n v="43"/>
    <s v="moderate"/>
  </r>
  <r>
    <x v="0"/>
    <s v="SKU45"/>
    <n v="33.784138033065503"/>
    <n v="1"/>
    <n v="24"/>
    <n v="5267.9568075105199"/>
    <x v="3"/>
    <n v="93"/>
    <n v="7"/>
    <n v="52"/>
    <n v="6"/>
    <s v="Carrier B"/>
    <n v="5.2151550087119096"/>
    <x v="4"/>
    <x v="4"/>
    <n v="25"/>
    <n v="794"/>
    <n v="25"/>
    <n v="66.312544439991598"/>
    <x v="2"/>
    <n v="3.2196046120841002"/>
    <x v="2"/>
    <x v="2"/>
    <n v="495.30569702847299"/>
    <n v="5227.1901761841718"/>
    <n v="40.766631326348033"/>
    <n v="5266.9645461144637"/>
    <n v="38"/>
    <s v="moderate"/>
  </r>
  <r>
    <x v="0"/>
    <s v="SKU46"/>
    <n v="27.082207199888899"/>
    <n v="75"/>
    <n v="859"/>
    <n v="2556.7673606335902"/>
    <x v="0"/>
    <n v="92"/>
    <n v="29"/>
    <n v="6"/>
    <n v="8"/>
    <s v="Carrier B"/>
    <n v="4.0709558370840799"/>
    <x v="0"/>
    <x v="4"/>
    <n v="18"/>
    <n v="870"/>
    <n v="23"/>
    <n v="77.322353211051606"/>
    <x v="0"/>
    <n v="3.6486105925361998"/>
    <x v="0"/>
    <x v="0"/>
    <n v="380.43593711196399"/>
    <n v="5111.1762170960355"/>
    <n v="-2554.4088564624453"/>
    <n v="2554.7682830891126"/>
    <n v="60"/>
    <s v="high risk"/>
  </r>
  <r>
    <x v="1"/>
    <s v="SKU47"/>
    <n v="95.712135880936003"/>
    <n v="93"/>
    <n v="910"/>
    <n v="7089.4742499341801"/>
    <x v="3"/>
    <n v="4"/>
    <n v="15"/>
    <n v="51"/>
    <n v="9"/>
    <s v="Carrier B"/>
    <n v="8.9787507559499709"/>
    <x v="1"/>
    <x v="1"/>
    <n v="10"/>
    <n v="964"/>
    <n v="20"/>
    <n v="19.7129929112936"/>
    <x v="0"/>
    <n v="0.38057358671321301"/>
    <x v="2"/>
    <x v="2"/>
    <n v="581.60235505058597"/>
    <n v="5317.2504299535231"/>
    <n v="1772.223819980657"/>
    <n v="7088.7242295176447"/>
    <n v="44"/>
    <s v="moderate"/>
  </r>
  <r>
    <x v="0"/>
    <s v="SKU48"/>
    <n v="76.035544426891704"/>
    <n v="28"/>
    <n v="29"/>
    <n v="7397.0710045871801"/>
    <x v="0"/>
    <n v="30"/>
    <n v="16"/>
    <n v="9"/>
    <n v="3"/>
    <s v="Carrier C"/>
    <n v="7.0958331565551296"/>
    <x v="4"/>
    <x v="0"/>
    <n v="9"/>
    <n v="109"/>
    <n v="18"/>
    <n v="23.126363582464698"/>
    <x v="1"/>
    <n v="1.6981125407144"/>
    <x v="2"/>
    <x v="0"/>
    <n v="768.65191395437"/>
    <n v="5502.4170712579116"/>
    <n v="1894.6539333292685"/>
    <n v="7396.3271402836135"/>
    <n v="37"/>
    <s v="moderate"/>
  </r>
  <r>
    <x v="2"/>
    <s v="SKU49"/>
    <n v="78.897913205639995"/>
    <n v="19"/>
    <n v="99"/>
    <n v="8001.6132065190004"/>
    <x v="2"/>
    <n v="97"/>
    <n v="24"/>
    <n v="9"/>
    <n v="6"/>
    <s v="Carrier C"/>
    <n v="2.5056210329009101"/>
    <x v="2"/>
    <x v="2"/>
    <n v="28"/>
    <n v="177"/>
    <n v="28"/>
    <n v="14.1478154439792"/>
    <x v="2"/>
    <n v="2.8258139854001301"/>
    <x v="2"/>
    <x v="2"/>
    <n v="336.89016851997701"/>
    <n v="5066.0651136998649"/>
    <n v="2935.5480928191355"/>
    <n v="8000.9800760510625"/>
    <n v="58"/>
    <s v="high risk"/>
  </r>
  <r>
    <x v="2"/>
    <s v="SKU50"/>
    <n v="14.203484264803"/>
    <n v="91"/>
    <n v="633"/>
    <n v="5910.8853896688897"/>
    <x v="1"/>
    <n v="31"/>
    <n v="23"/>
    <n v="82"/>
    <n v="10"/>
    <s v="Carrier A"/>
    <n v="6.2478609149759903"/>
    <x v="4"/>
    <x v="2"/>
    <n v="20"/>
    <n v="306"/>
    <n v="21"/>
    <n v="45.178757924634503"/>
    <x v="1"/>
    <n v="4.7548008046711798"/>
    <x v="2"/>
    <x v="0"/>
    <n v="496.24865029194001"/>
    <n v="5229.1658353539024"/>
    <n v="681.71955431498736"/>
    <n v="5910.0007225690179"/>
    <n v="54"/>
    <s v="high risk"/>
  </r>
  <r>
    <x v="0"/>
    <s v="SKU51"/>
    <n v="26.700760972461701"/>
    <n v="61"/>
    <n v="154"/>
    <n v="9866.4654579796897"/>
    <x v="3"/>
    <n v="100"/>
    <n v="4"/>
    <n v="52"/>
    <n v="1"/>
    <s v="Carrier A"/>
    <n v="4.78300055794766"/>
    <x v="2"/>
    <x v="3"/>
    <n v="18"/>
    <n v="673"/>
    <n v="28"/>
    <n v="14.190328344569901"/>
    <x v="0"/>
    <n v="1.77295117208355"/>
    <x v="0"/>
    <x v="2"/>
    <n v="694.98231757944495"/>
    <n v="5426.4346422843792"/>
    <n v="4440.0308156953106"/>
    <n v="9865.9154702799005"/>
    <n v="33"/>
    <s v="moderate"/>
  </r>
  <r>
    <x v="1"/>
    <s v="SKU52"/>
    <n v="98.031829656465007"/>
    <n v="1"/>
    <n v="820"/>
    <n v="9435.7626089121295"/>
    <x v="3"/>
    <n v="64"/>
    <n v="11"/>
    <n v="11"/>
    <n v="1"/>
    <s v="Carrier B"/>
    <n v="8.6310521797689397"/>
    <x v="1"/>
    <x v="0"/>
    <n v="10"/>
    <n v="727"/>
    <n v="27"/>
    <n v="9.1668491485971497"/>
    <x v="0"/>
    <n v="2.1224716191438202"/>
    <x v="1"/>
    <x v="1"/>
    <n v="602.89849883838303"/>
    <n v="5338.1988751651379"/>
    <n v="4097.5637337469916"/>
    <n v="9435.196867795441"/>
    <n v="39"/>
    <s v="moderate"/>
  </r>
  <r>
    <x v="1"/>
    <s v="SKU53"/>
    <n v="30.3414707112142"/>
    <n v="93"/>
    <n v="242"/>
    <n v="8232.3348294258194"/>
    <x v="3"/>
    <n v="96"/>
    <n v="25"/>
    <n v="54"/>
    <n v="3"/>
    <s v="Carrier B"/>
    <n v="1.0134865660958901"/>
    <x v="1"/>
    <x v="2"/>
    <n v="1"/>
    <n v="631"/>
    <n v="17"/>
    <n v="83.344058991677898"/>
    <x v="0"/>
    <n v="1.41034757607602"/>
    <x v="1"/>
    <x v="0"/>
    <n v="750.73784066827"/>
    <n v="5478.4206513813524"/>
    <n v="2753.914178044467"/>
    <n v="8231.6693534988935"/>
    <n v="45"/>
    <s v="moderate"/>
  </r>
  <r>
    <x v="0"/>
    <s v="SKU54"/>
    <n v="31.1462431602408"/>
    <n v="11"/>
    <n v="622"/>
    <n v="6088.0214799408504"/>
    <x v="0"/>
    <n v="33"/>
    <n v="22"/>
    <n v="61"/>
    <n v="3"/>
    <s v="Carrier B"/>
    <n v="4.3051034712876302"/>
    <x v="1"/>
    <x v="1"/>
    <n v="26"/>
    <n v="497"/>
    <n v="29"/>
    <n v="30.186023375822501"/>
    <x v="2"/>
    <n v="2.4787719755397402"/>
    <x v="0"/>
    <x v="0"/>
    <n v="814.06999658218695"/>
    <n v="5545.0444242004614"/>
    <n v="542.97705574038901"/>
    <n v="6087.1106677102316"/>
    <n v="54"/>
    <s v="high risk"/>
  </r>
  <r>
    <x v="0"/>
    <s v="SKU55"/>
    <n v="79.855058340789398"/>
    <n v="16"/>
    <n v="701"/>
    <n v="2925.6751703038099"/>
    <x v="3"/>
    <n v="97"/>
    <n v="11"/>
    <n v="11"/>
    <n v="5"/>
    <s v="Carrier A"/>
    <n v="5.0143649550309002"/>
    <x v="4"/>
    <x v="2"/>
    <n v="27"/>
    <n v="918"/>
    <n v="5"/>
    <n v="30.323545256616502"/>
    <x v="1"/>
    <n v="4.5489196593963799"/>
    <x v="3"/>
    <x v="0"/>
    <n v="323.01292795247798"/>
    <n v="5054.6966170544956"/>
    <n v="-2129.0214467506858"/>
    <n v="2923.9474676974642"/>
    <n v="21"/>
    <s v="optimal"/>
  </r>
  <r>
    <x v="1"/>
    <s v="SKU56"/>
    <n v="20.9863860370433"/>
    <n v="90"/>
    <n v="93"/>
    <n v="4767.0204843441297"/>
    <x v="0"/>
    <n v="25"/>
    <n v="23"/>
    <n v="83"/>
    <n v="5"/>
    <s v="Carrier C"/>
    <n v="1.77442971407173"/>
    <x v="1"/>
    <x v="0"/>
    <n v="24"/>
    <n v="826"/>
    <n v="28"/>
    <n v="12.8362845728327"/>
    <x v="2"/>
    <n v="1.1737554953874501"/>
    <x v="1"/>
    <x v="0"/>
    <n v="832.210808706021"/>
    <n v="5560.6545625670788"/>
    <n v="-793.63407822294903"/>
    <n v="4765.8540000420735"/>
    <n v="56"/>
    <s v="high risk"/>
  </r>
  <r>
    <x v="0"/>
    <s v="SKU57"/>
    <n v="49.263205350734097"/>
    <n v="65"/>
    <n v="227"/>
    <n v="1605.8669003924001"/>
    <x v="2"/>
    <n v="5"/>
    <n v="18"/>
    <n v="51"/>
    <n v="1"/>
    <s v="Carrier B"/>
    <n v="9.1605585353818704"/>
    <x v="4"/>
    <x v="2"/>
    <n v="21"/>
    <n v="588"/>
    <n v="25"/>
    <n v="67.779622987078099"/>
    <x v="0"/>
    <n v="2.5111748302126999"/>
    <x v="2"/>
    <x v="2"/>
    <n v="482.19123860252802"/>
    <n v="5218.0211212848963"/>
    <n v="-3612.1542208924961"/>
    <n v="1602.6175519439018"/>
    <n v="44"/>
    <s v="moderate"/>
  </r>
  <r>
    <x v="1"/>
    <s v="SKU58"/>
    <n v="59.841561377289302"/>
    <n v="81"/>
    <n v="896"/>
    <n v="2021.1498103371"/>
    <x v="0"/>
    <n v="10"/>
    <n v="5"/>
    <n v="44"/>
    <n v="7"/>
    <s v="Carrier A"/>
    <n v="4.9384385647120901"/>
    <x v="0"/>
    <x v="2"/>
    <n v="18"/>
    <n v="396"/>
    <n v="7"/>
    <n v="65.047415094691402"/>
    <x v="1"/>
    <n v="1.7303747198591899"/>
    <x v="0"/>
    <x v="0"/>
    <n v="110.364335231364"/>
    <n v="4841.9720979430622"/>
    <n v="-2820.8222876059622"/>
    <n v="2018.7541580835268"/>
    <n v="19"/>
    <s v="optimal"/>
  </r>
  <r>
    <x v="2"/>
    <s v="SKU59"/>
    <n v="63.828398347710902"/>
    <n v="30"/>
    <n v="484"/>
    <n v="1061.6185230132801"/>
    <x v="0"/>
    <n v="100"/>
    <n v="16"/>
    <n v="26"/>
    <n v="7"/>
    <s v="Carrier B"/>
    <n v="7.2937225968677204"/>
    <x v="1"/>
    <x v="1"/>
    <n v="11"/>
    <n v="176"/>
    <n v="4"/>
    <n v="1.90076224351945"/>
    <x v="1"/>
    <n v="0.44719401546382298"/>
    <x v="1"/>
    <x v="2"/>
    <n v="312.57427361009297"/>
    <n v="5046.5373203539475"/>
    <n v="-3984.9187973406674"/>
    <n v="1056.8648971006219"/>
    <n v="27"/>
    <s v="optimal"/>
  </r>
  <r>
    <x v="1"/>
    <s v="SKU60"/>
    <n v="17.028027920188698"/>
    <n v="16"/>
    <n v="380"/>
    <n v="8864.0843495864301"/>
    <x v="1"/>
    <n v="41"/>
    <n v="27"/>
    <n v="72"/>
    <n v="8"/>
    <s v="Carrier C"/>
    <n v="4.3813681581023101"/>
    <x v="3"/>
    <x v="0"/>
    <n v="29"/>
    <n v="929"/>
    <n v="24"/>
    <n v="87.213057815135599"/>
    <x v="1"/>
    <n v="2.8530906166490499"/>
    <x v="2"/>
    <x v="2"/>
    <n v="430.16909697513597"/>
    <n v="5161.2197892802251"/>
    <n v="3702.864560306205"/>
    <n v="8863.5020875517148"/>
    <n v="59"/>
    <s v="high risk"/>
  </r>
  <r>
    <x v="0"/>
    <s v="SKU61"/>
    <n v="52.028749903294901"/>
    <n v="23"/>
    <n v="117"/>
    <n v="6885.5893508962499"/>
    <x v="2"/>
    <n v="32"/>
    <n v="23"/>
    <n v="36"/>
    <n v="7"/>
    <s v="Carrier C"/>
    <n v="9.0303404225219399"/>
    <x v="3"/>
    <x v="1"/>
    <n v="14"/>
    <n v="480"/>
    <n v="12"/>
    <n v="78.702393968878894"/>
    <x v="1"/>
    <n v="4.3674705382050503"/>
    <x v="1"/>
    <x v="2"/>
    <n v="164.366528243419"/>
    <n v="4900.0661928129284"/>
    <n v="1985.5231580833215"/>
    <n v="6884.8777101138712"/>
    <n v="42"/>
    <s v="moderate"/>
  </r>
  <r>
    <x v="2"/>
    <s v="SKU62"/>
    <n v="72.796353955587307"/>
    <n v="89"/>
    <n v="270"/>
    <n v="3899.7468337292198"/>
    <x v="2"/>
    <n v="86"/>
    <n v="2"/>
    <n v="40"/>
    <n v="7"/>
    <s v="Carrier C"/>
    <n v="7.2917013887767697"/>
    <x v="4"/>
    <x v="0"/>
    <n v="13"/>
    <n v="751"/>
    <n v="14"/>
    <n v="21.048642725168602"/>
    <x v="2"/>
    <n v="1.87400140404437"/>
    <x v="3"/>
    <x v="1"/>
    <n v="320.84651575911101"/>
    <n v="5054.8075412948738"/>
    <n v="-1155.060707565654"/>
    <n v="3898.4506450901072"/>
    <n v="23"/>
    <s v="optimal"/>
  </r>
  <r>
    <x v="1"/>
    <s v="SKU63"/>
    <n v="13.0173767852878"/>
    <n v="55"/>
    <n v="246"/>
    <n v="4256.9491408502199"/>
    <x v="0"/>
    <n v="54"/>
    <n v="19"/>
    <n v="10"/>
    <n v="4"/>
    <s v="Carrier A"/>
    <n v="2.45793352798733"/>
    <x v="0"/>
    <x v="3"/>
    <n v="18"/>
    <n v="736"/>
    <n v="10"/>
    <n v="20.075003975630398"/>
    <x v="0"/>
    <n v="3.6328432903821302"/>
    <x v="3"/>
    <x v="2"/>
    <n v="687.28617786641701"/>
    <n v="5416.4134355413917"/>
    <n v="-1159.4642946911717"/>
    <n v="4255.676771071694"/>
    <n v="33"/>
    <s v="moderate"/>
  </r>
  <r>
    <x v="1"/>
    <s v="SKU64"/>
    <n v="89.634095608135297"/>
    <n v="11"/>
    <n v="134"/>
    <n v="8458.7308783671706"/>
    <x v="1"/>
    <n v="73"/>
    <n v="27"/>
    <n v="75"/>
    <n v="6"/>
    <s v="Carrier C"/>
    <n v="4.5853534681946497"/>
    <x v="1"/>
    <x v="2"/>
    <n v="17"/>
    <n v="328"/>
    <n v="6"/>
    <n v="8.6930424258772803"/>
    <x v="1"/>
    <n v="0.15948631471751401"/>
    <x v="1"/>
    <x v="1"/>
    <n v="771.225084681157"/>
    <n v="5502.4797622963379"/>
    <n v="2956.2511160708327"/>
    <n v="8458.0803694620627"/>
    <n v="39"/>
    <s v="moderate"/>
  </r>
  <r>
    <x v="1"/>
    <s v="SKU65"/>
    <n v="33.697717206643098"/>
    <n v="72"/>
    <n v="457"/>
    <n v="8354.5796864819895"/>
    <x v="3"/>
    <n v="57"/>
    <n v="24"/>
    <n v="54"/>
    <n v="8"/>
    <s v="Carrier C"/>
    <n v="6.5805413478845898"/>
    <x v="2"/>
    <x v="1"/>
    <n v="16"/>
    <n v="358"/>
    <n v="21"/>
    <n v="1.59722274305067"/>
    <x v="1"/>
    <n v="4.9110959548423301"/>
    <x v="2"/>
    <x v="1"/>
    <n v="555.85910367174301"/>
    <n v="5289.1089691666148"/>
    <n v="3065.4707173153747"/>
    <n v="8353.9466074800948"/>
    <n v="53"/>
    <s v="high risk"/>
  </r>
  <r>
    <x v="1"/>
    <s v="SKU66"/>
    <n v="26.034869773962001"/>
    <n v="52"/>
    <n v="704"/>
    <n v="8367.7216180201503"/>
    <x v="1"/>
    <n v="13"/>
    <n v="17"/>
    <n v="19"/>
    <n v="8"/>
    <s v="Carrier A"/>
    <n v="2.2161427287713602"/>
    <x v="2"/>
    <x v="1"/>
    <n v="24"/>
    <n v="867"/>
    <n v="28"/>
    <n v="42.084436738309897"/>
    <x v="1"/>
    <n v="3.44806328834026"/>
    <x v="0"/>
    <x v="2"/>
    <n v="393.84334857842703"/>
    <n v="5122.7288154541848"/>
    <n v="3244.9928025659656"/>
    <n v="8367.1094168679974"/>
    <n v="53"/>
    <s v="high risk"/>
  </r>
  <r>
    <x v="1"/>
    <s v="SKU67"/>
    <n v="87.755432354001002"/>
    <n v="16"/>
    <n v="513"/>
    <n v="9473.7980325083299"/>
    <x v="2"/>
    <n v="12"/>
    <n v="9"/>
    <n v="71"/>
    <n v="9"/>
    <s v="Carrier C"/>
    <n v="9.1478115447106294"/>
    <x v="1"/>
    <x v="0"/>
    <n v="10"/>
    <n v="198"/>
    <n v="11"/>
    <n v="7.0578761469782298"/>
    <x v="2"/>
    <n v="0.131955444311814"/>
    <x v="3"/>
    <x v="1"/>
    <n v="169.27180138478599"/>
    <n v="4905.0889370764835"/>
    <n v="4568.7090954318464"/>
    <n v="9473.2802793410956"/>
    <n v="29"/>
    <s v="optimal"/>
  </r>
  <r>
    <x v="0"/>
    <s v="SKU68"/>
    <n v="37.931812382790298"/>
    <n v="29"/>
    <n v="163"/>
    <n v="3550.21843278099"/>
    <x v="0"/>
    <n v="0"/>
    <n v="8"/>
    <n v="58"/>
    <n v="8"/>
    <s v="Carrier B"/>
    <n v="1.19425186488499"/>
    <x v="4"/>
    <x v="3"/>
    <n v="2"/>
    <n v="375"/>
    <n v="18"/>
    <n v="97.113581563462205"/>
    <x v="1"/>
    <n v="1.9834678721741801"/>
    <x v="2"/>
    <x v="2"/>
    <n v="299.70630311810299"/>
    <n v="5027.5698791299747"/>
    <n v="-1477.3514463489846"/>
    <n v="3548.8023030486029"/>
    <n v="34"/>
    <s v="moderate"/>
  </r>
  <r>
    <x v="1"/>
    <s v="SKU69"/>
    <n v="54.865528517069698"/>
    <n v="62"/>
    <n v="511"/>
    <n v="1752.3810874841199"/>
    <x v="0"/>
    <n v="95"/>
    <n v="1"/>
    <n v="27"/>
    <n v="3"/>
    <s v="Carrier B"/>
    <n v="9.7052867901203399"/>
    <x v="3"/>
    <x v="1"/>
    <n v="9"/>
    <n v="862"/>
    <n v="7"/>
    <n v="77.627765812748095"/>
    <x v="0"/>
    <n v="1.3623879886490999"/>
    <x v="1"/>
    <x v="2"/>
    <n v="207.66320620857499"/>
    <n v="4944.0378171456814"/>
    <n v="-3191.6567296615613"/>
    <n v="1749.5597617733729"/>
    <n v="11"/>
    <s v="optimal"/>
  </r>
  <r>
    <x v="0"/>
    <s v="SKU70"/>
    <n v="47.914541824058702"/>
    <n v="90"/>
    <n v="32"/>
    <n v="7014.8879872033804"/>
    <x v="1"/>
    <n v="10"/>
    <n v="12"/>
    <n v="22"/>
    <n v="4"/>
    <s v="Carrier B"/>
    <n v="6.3157177546007199"/>
    <x v="1"/>
    <x v="3"/>
    <n v="22"/>
    <n v="775"/>
    <n v="16"/>
    <n v="11.440781823761199"/>
    <x v="2"/>
    <n v="1.8305755986122301"/>
    <x v="0"/>
    <x v="1"/>
    <n v="183.27289874871099"/>
    <n v="4916.2579406502982"/>
    <n v="2098.6300465530821"/>
    <n v="7014.1871552086832"/>
    <n v="32"/>
    <s v="moderate"/>
  </r>
  <r>
    <x v="2"/>
    <s v="SKU71"/>
    <n v="6.3815331627479601"/>
    <n v="14"/>
    <n v="637"/>
    <n v="8180.3370854254399"/>
    <x v="1"/>
    <n v="76"/>
    <n v="2"/>
    <n v="26"/>
    <n v="6"/>
    <s v="Carrier A"/>
    <n v="9.2281903170525101"/>
    <x v="4"/>
    <x v="3"/>
    <n v="2"/>
    <n v="258"/>
    <n v="10"/>
    <n v="30.661677477859499"/>
    <x v="0"/>
    <n v="2.07875060787496"/>
    <x v="0"/>
    <x v="2"/>
    <n v="405.167067888855"/>
    <n v="5141.0645823528939"/>
    <n v="3039.272503072546"/>
    <n v="8179.7086193208452"/>
    <n v="18"/>
    <s v="optimal"/>
  </r>
  <r>
    <x v="2"/>
    <s v="SKU72"/>
    <n v="90.204427520528"/>
    <n v="88"/>
    <n v="478"/>
    <n v="2633.1219813122498"/>
    <x v="0"/>
    <n v="57"/>
    <n v="29"/>
    <n v="77"/>
    <n v="9"/>
    <s v="Carrier A"/>
    <n v="6.5996141596895397"/>
    <x v="1"/>
    <x v="3"/>
    <n v="21"/>
    <n v="152"/>
    <n v="11"/>
    <n v="55.760492895244198"/>
    <x v="0"/>
    <n v="3.2133296074383"/>
    <x v="2"/>
    <x v="0"/>
    <n v="677.94456984618296"/>
    <n v="5411.2135081528595"/>
    <n v="-2778.0915268406097"/>
    <n v="2631.0669251672794"/>
    <n v="49"/>
    <s v="moderate"/>
  </r>
  <r>
    <x v="2"/>
    <s v="SKU73"/>
    <n v="83.851017681304597"/>
    <n v="41"/>
    <n v="375"/>
    <n v="7910.8869161406801"/>
    <x v="3"/>
    <n v="17"/>
    <n v="25"/>
    <n v="66"/>
    <n v="5"/>
    <s v="Carrier B"/>
    <n v="1.5129368369160701"/>
    <x v="3"/>
    <x v="4"/>
    <n v="13"/>
    <n v="444"/>
    <n v="4"/>
    <n v="46.870238797617098"/>
    <x v="1"/>
    <n v="4.6205460645137002"/>
    <x v="0"/>
    <x v="2"/>
    <n v="866.472800129657"/>
    <n v="5594.6550611135599"/>
    <n v="2316.2318550271202"/>
    <n v="7910.179706554648"/>
    <n v="34"/>
    <s v="moderate"/>
  </r>
  <r>
    <x v="0"/>
    <s v="SKU74"/>
    <n v="3.1700114135661499"/>
    <n v="64"/>
    <n v="904"/>
    <n v="5709.9452959692799"/>
    <x v="1"/>
    <n v="41"/>
    <n v="6"/>
    <n v="1"/>
    <n v="5"/>
    <s v="Carrier A"/>
    <n v="5.2376546500374399"/>
    <x v="3"/>
    <x v="2"/>
    <n v="1"/>
    <n v="919"/>
    <n v="9"/>
    <n v="80.580852156447804"/>
    <x v="1"/>
    <n v="0.39661272410993498"/>
    <x v="2"/>
    <x v="2"/>
    <n v="341.55265678322297"/>
    <n v="5073.4596355802469"/>
    <n v="636.485660389033"/>
    <n v="5709.0567656292151"/>
    <n v="20"/>
    <s v="optimal"/>
  </r>
  <r>
    <x v="1"/>
    <s v="SKU75"/>
    <n v="92.996884233970604"/>
    <n v="29"/>
    <n v="106"/>
    <n v="1889.07358977933"/>
    <x v="0"/>
    <n v="16"/>
    <n v="20"/>
    <n v="56"/>
    <n v="10"/>
    <s v="Carrier C"/>
    <n v="2.47389776104546"/>
    <x v="1"/>
    <x v="4"/>
    <n v="25"/>
    <n v="759"/>
    <n v="11"/>
    <n v="48.064782640006499"/>
    <x v="2"/>
    <n v="2.0300690886687498"/>
    <x v="1"/>
    <x v="1"/>
    <n v="873.12964801765099"/>
    <n v="5602.2728699256822"/>
    <n v="-3713.1992801463521"/>
    <n v="1886.107970599518"/>
    <n v="41"/>
    <s v="moderate"/>
  </r>
  <r>
    <x v="0"/>
    <s v="SKU76"/>
    <n v="69.108799547430294"/>
    <n v="23"/>
    <n v="241"/>
    <n v="5328.3759842977497"/>
    <x v="3"/>
    <n v="38"/>
    <n v="1"/>
    <n v="22"/>
    <n v="10"/>
    <s v="Carrier A"/>
    <n v="7.0545383368369201"/>
    <x v="4"/>
    <x v="3"/>
    <n v="25"/>
    <n v="985"/>
    <n v="24"/>
    <n v="64.323597795600193"/>
    <x v="0"/>
    <n v="2.1800374515822099"/>
    <x v="2"/>
    <x v="2"/>
    <n v="997.41345013319403"/>
    <n v="5731.1373126170174"/>
    <n v="-402.7613283192677"/>
    <n v="5327.3003962894136"/>
    <n v="35"/>
    <s v="moderate"/>
  </r>
  <r>
    <x v="0"/>
    <s v="SKU77"/>
    <n v="57.449742958971399"/>
    <n v="14"/>
    <n v="359"/>
    <n v="2483.7601775427902"/>
    <x v="2"/>
    <n v="96"/>
    <n v="28"/>
    <n v="57"/>
    <n v="4"/>
    <s v="Carrier B"/>
    <n v="6.7809466256178901"/>
    <x v="1"/>
    <x v="1"/>
    <n v="26"/>
    <n v="334"/>
    <n v="5"/>
    <n v="42.952444748991802"/>
    <x v="2"/>
    <n v="3.0551418183075398"/>
    <x v="0"/>
    <x v="0"/>
    <n v="852.56809891984994"/>
    <n v="5586.0183696924541"/>
    <n v="-3102.258192149664"/>
    <n v="2481.5111607414906"/>
    <n v="37"/>
    <s v="moderate"/>
  </r>
  <r>
    <x v="0"/>
    <s v="SKU78"/>
    <n v="6.30688317611191"/>
    <n v="50"/>
    <n v="946"/>
    <n v="1292.45841793775"/>
    <x v="2"/>
    <n v="5"/>
    <n v="4"/>
    <n v="51"/>
    <n v="5"/>
    <s v="Carrier B"/>
    <n v="8.4670497708619905"/>
    <x v="2"/>
    <x v="0"/>
    <n v="25"/>
    <n v="858"/>
    <n v="21"/>
    <n v="71.126514720403307"/>
    <x v="0"/>
    <n v="4.0968813324704501"/>
    <x v="3"/>
    <x v="1"/>
    <n v="323.59220343132199"/>
    <n v="5058.7285773491703"/>
    <n v="-3766.2701594114205"/>
    <n v="1288.544382091691"/>
    <n v="30"/>
    <s v="moderate"/>
  </r>
  <r>
    <x v="0"/>
    <s v="SKU79"/>
    <n v="57.057031221103202"/>
    <n v="56"/>
    <n v="198"/>
    <n v="7888.7232684270803"/>
    <x v="0"/>
    <n v="31"/>
    <n v="25"/>
    <n v="20"/>
    <n v="1"/>
    <s v="Carrier B"/>
    <n v="6.49632536429504"/>
    <x v="0"/>
    <x v="3"/>
    <n v="5"/>
    <n v="228"/>
    <n v="12"/>
    <n v="57.870902924036201"/>
    <x v="0"/>
    <n v="0.16587162748060799"/>
    <x v="1"/>
    <x v="1"/>
    <n v="351.50421933503799"/>
    <n v="5084.6698688463202"/>
    <n v="2804.05339958076"/>
    <n v="7888.0787192781454"/>
    <n v="38"/>
    <s v="moderate"/>
  </r>
  <r>
    <x v="1"/>
    <s v="SKU80"/>
    <n v="91.128318350444303"/>
    <n v="75"/>
    <n v="872"/>
    <n v="8651.67268298206"/>
    <x v="2"/>
    <n v="39"/>
    <n v="14"/>
    <n v="41"/>
    <n v="2"/>
    <s v="Carrier C"/>
    <n v="2.8331846794189701"/>
    <x v="0"/>
    <x v="4"/>
    <n v="8"/>
    <n v="202"/>
    <n v="5"/>
    <n v="76.961228023819999"/>
    <x v="1"/>
    <n v="2.8496621985053299"/>
    <x v="3"/>
    <x v="0"/>
    <n v="787.77985049434403"/>
    <n v="5517.2823593207495"/>
    <n v="3134.3903236613105"/>
    <n v="8651.0349701880732"/>
    <n v="21"/>
    <s v="optimal"/>
  </r>
  <r>
    <x v="0"/>
    <s v="SKU81"/>
    <n v="72.819206930318202"/>
    <n v="9"/>
    <n v="774"/>
    <n v="4384.4134000458598"/>
    <x v="2"/>
    <n v="48"/>
    <n v="6"/>
    <n v="8"/>
    <n v="5"/>
    <s v="Carrier B"/>
    <n v="4.0662775015120403"/>
    <x v="0"/>
    <x v="2"/>
    <n v="28"/>
    <n v="698"/>
    <n v="1"/>
    <n v="19.789592941903599"/>
    <x v="0"/>
    <n v="2.54754712154871"/>
    <x v="2"/>
    <x v="0"/>
    <n v="276.77833594679799"/>
    <n v="5007.5139375952958"/>
    <n v="-623.10053754943601"/>
    <n v="4383.2712828500808"/>
    <n v="12"/>
    <s v="optimal"/>
  </r>
  <r>
    <x v="1"/>
    <s v="SKU82"/>
    <n v="17.034930739467899"/>
    <n v="13"/>
    <n v="336"/>
    <n v="2943.3818676094502"/>
    <x v="2"/>
    <n v="42"/>
    <n v="19"/>
    <n v="72"/>
    <n v="1"/>
    <s v="Carrier A"/>
    <n v="4.7081818735419301"/>
    <x v="4"/>
    <x v="0"/>
    <n v="6"/>
    <n v="955"/>
    <n v="26"/>
    <n v="4.4652784349432402"/>
    <x v="0"/>
    <n v="4.1378770486223502"/>
    <x v="0"/>
    <x v="1"/>
    <n v="589.97855562804"/>
    <n v="5321.3560616485693"/>
    <n v="-2377.9741940391191"/>
    <n v="2941.573962179235"/>
    <n v="46"/>
    <s v="moderate"/>
  </r>
  <r>
    <x v="0"/>
    <s v="SKU83"/>
    <n v="68.911246211606297"/>
    <n v="82"/>
    <n v="663"/>
    <n v="2411.7546321104901"/>
    <x v="2"/>
    <n v="65"/>
    <n v="24"/>
    <n v="7"/>
    <n v="8"/>
    <s v="Carrier B"/>
    <n v="4.94983957799694"/>
    <x v="1"/>
    <x v="3"/>
    <n v="20"/>
    <n v="443"/>
    <n v="5"/>
    <n v="97.730593800533001"/>
    <x v="1"/>
    <n v="0.77300613406724705"/>
    <x v="0"/>
    <x v="2"/>
    <n v="682.97101822609295"/>
    <n v="5414.5901819510764"/>
    <n v="-3002.8355498405863"/>
    <n v="2409.5095487550525"/>
    <n v="37"/>
    <s v="moderate"/>
  </r>
  <r>
    <x v="0"/>
    <s v="SKU84"/>
    <n v="89.104367292102197"/>
    <n v="99"/>
    <n v="618"/>
    <n v="2048.2900998487098"/>
    <x v="2"/>
    <n v="73"/>
    <n v="26"/>
    <n v="80"/>
    <n v="10"/>
    <s v="Carrier A"/>
    <n v="8.3816156249226292"/>
    <x v="2"/>
    <x v="4"/>
    <n v="24"/>
    <n v="589"/>
    <n v="22"/>
    <n v="33.808636513209002"/>
    <x v="2"/>
    <n v="4.8434565771180402"/>
    <x v="1"/>
    <x v="0"/>
    <n v="465.45700596368698"/>
    <n v="5200.507945735596"/>
    <n v="-3152.2178458868862"/>
    <n v="2045.7511489715271"/>
    <n v="58"/>
    <s v="high risk"/>
  </r>
  <r>
    <x v="2"/>
    <s v="SKU85"/>
    <n v="76.962994415193805"/>
    <n v="83"/>
    <n v="25"/>
    <n v="8684.6130592538502"/>
    <x v="1"/>
    <n v="15"/>
    <n v="18"/>
    <n v="66"/>
    <n v="2"/>
    <s v="Carrier C"/>
    <n v="8.2491687048717193"/>
    <x v="2"/>
    <x v="4"/>
    <n v="4"/>
    <n v="211"/>
    <n v="2"/>
    <n v="69.929345518672307"/>
    <x v="1"/>
    <n v="1.3744289997457499"/>
    <x v="0"/>
    <x v="0"/>
    <n v="842.68683000464102"/>
    <n v="5577.6053228564988"/>
    <n v="3107.0077363973514"/>
    <n v="8683.9708193192891"/>
    <n v="22"/>
    <s v="optimal"/>
  </r>
  <r>
    <x v="1"/>
    <s v="SKU86"/>
    <n v="19.9981769404042"/>
    <n v="18"/>
    <n v="223"/>
    <n v="1229.59102856498"/>
    <x v="2"/>
    <n v="32"/>
    <n v="14"/>
    <n v="22"/>
    <n v="6"/>
    <s v="Carrier B"/>
    <n v="1.4543053101535499"/>
    <x v="1"/>
    <x v="0"/>
    <n v="4"/>
    <n v="569"/>
    <n v="18"/>
    <n v="74.608969995194599"/>
    <x v="2"/>
    <n v="2.0515129307662399"/>
    <x v="2"/>
    <x v="2"/>
    <n v="264.25488983586598"/>
    <n v="4992.3785192930063"/>
    <n v="-3762.7874907280266"/>
    <n v="1225.5308342375056"/>
    <n v="38"/>
    <s v="moderate"/>
  </r>
  <r>
    <x v="0"/>
    <s v="SKU87"/>
    <n v="80.414036650355698"/>
    <n v="24"/>
    <n v="79"/>
    <n v="5133.8467010866898"/>
    <x v="3"/>
    <n v="5"/>
    <n v="7"/>
    <n v="55"/>
    <n v="10"/>
    <s v="Carrier A"/>
    <n v="6.5758037975485299"/>
    <x v="0"/>
    <x v="4"/>
    <n v="27"/>
    <n v="523"/>
    <n v="17"/>
    <n v="28.696996824143099"/>
    <x v="1"/>
    <n v="3.6937377878392699"/>
    <x v="3"/>
    <x v="0"/>
    <n v="879.35921773492396"/>
    <n v="5612.6043456794587"/>
    <n v="-478.75764459276888"/>
    <n v="5132.7534459366107"/>
    <n v="34"/>
    <s v="moderate"/>
  </r>
  <r>
    <x v="2"/>
    <s v="SKU88"/>
    <n v="75.270406975724995"/>
    <n v="58"/>
    <n v="737"/>
    <n v="9444.7420330629793"/>
    <x v="3"/>
    <n v="60"/>
    <n v="18"/>
    <n v="85"/>
    <n v="7"/>
    <s v="Carrier A"/>
    <n v="3.8012531329310701"/>
    <x v="4"/>
    <x v="0"/>
    <n v="21"/>
    <n v="953"/>
    <n v="11"/>
    <n v="68.1849190570411"/>
    <x v="0"/>
    <n v="0.722204401882931"/>
    <x v="3"/>
    <x v="2"/>
    <n v="103.916247960704"/>
    <n v="4834.3868252406219"/>
    <n v="4610.3552078223574"/>
    <n v="9444.2301729392912"/>
    <n v="36"/>
    <s v="moderate"/>
  </r>
  <r>
    <x v="2"/>
    <s v="SKU89"/>
    <n v="97.760085581938597"/>
    <n v="10"/>
    <n v="134"/>
    <n v="5924.6825668532301"/>
    <x v="2"/>
    <n v="90"/>
    <n v="1"/>
    <n v="27"/>
    <n v="8"/>
    <s v="Carrier B"/>
    <n v="9.9298162452772498"/>
    <x v="1"/>
    <x v="1"/>
    <n v="23"/>
    <n v="370"/>
    <n v="11"/>
    <n v="46.603873381644398"/>
    <x v="0"/>
    <n v="1.9076657339590699"/>
    <x v="2"/>
    <x v="0"/>
    <n v="517.49997392906005"/>
    <n v="5254.0991143213232"/>
    <n v="670.58345253190691"/>
    <n v="5923.7957515589023"/>
    <n v="20"/>
    <s v="optimal"/>
  </r>
  <r>
    <x v="1"/>
    <s v="SKU90"/>
    <n v="13.881913501359101"/>
    <n v="56"/>
    <n v="320"/>
    <n v="9592.6335702803099"/>
    <x v="0"/>
    <n v="66"/>
    <n v="18"/>
    <n v="96"/>
    <n v="7"/>
    <s v="Carrier B"/>
    <n v="7.6744307081126903"/>
    <x v="0"/>
    <x v="3"/>
    <n v="8"/>
    <n v="585"/>
    <n v="8"/>
    <n v="85.675963335797903"/>
    <x v="2"/>
    <n v="1.2193822244013801"/>
    <x v="2"/>
    <x v="0"/>
    <n v="990.07847250581096"/>
    <n v="5724.4222273609103"/>
    <n v="3868.2113429193996"/>
    <n v="9592.0368183888277"/>
    <n v="33"/>
    <s v="moderate"/>
  </r>
  <r>
    <x v="2"/>
    <s v="SKU91"/>
    <n v="62.111965463961702"/>
    <n v="90"/>
    <n v="916"/>
    <n v="1935.20679350759"/>
    <x v="3"/>
    <n v="98"/>
    <n v="22"/>
    <n v="85"/>
    <n v="7"/>
    <s v="Carrier B"/>
    <n v="7.4715140844011403"/>
    <x v="3"/>
    <x v="2"/>
    <n v="5"/>
    <n v="207"/>
    <n v="28"/>
    <n v="39.772882502339897"/>
    <x v="0"/>
    <n v="0.62600185820939402"/>
    <x v="2"/>
    <x v="0"/>
    <n v="996.77831495062298"/>
    <n v="5730.9191531820106"/>
    <n v="-3795.7123596744204"/>
    <n v="1932.2453946677304"/>
    <n v="57"/>
    <s v="high risk"/>
  </r>
  <r>
    <x v="2"/>
    <s v="SKU92"/>
    <n v="47.714233075820196"/>
    <n v="44"/>
    <n v="276"/>
    <n v="2100.1297546259302"/>
    <x v="3"/>
    <n v="90"/>
    <n v="25"/>
    <n v="10"/>
    <n v="8"/>
    <s v="Carrier B"/>
    <n v="4.4695000261236002"/>
    <x v="4"/>
    <x v="0"/>
    <n v="4"/>
    <n v="671"/>
    <n v="29"/>
    <n v="62.612690395614301"/>
    <x v="2"/>
    <n v="0.33343182522473902"/>
    <x v="2"/>
    <x v="0"/>
    <n v="230.092782536762"/>
    <n v="4961.2316067098718"/>
    <n v="-2861.1018520839416"/>
    <n v="2097.7674093490341"/>
    <n v="62"/>
    <s v="high risk"/>
  </r>
  <r>
    <x v="0"/>
    <s v="SKU93"/>
    <n v="69.290831002905406"/>
    <n v="88"/>
    <n v="114"/>
    <n v="4531.4021336919004"/>
    <x v="2"/>
    <n v="63"/>
    <n v="17"/>
    <n v="66"/>
    <n v="1"/>
    <s v="Carrier C"/>
    <n v="7.00643205900439"/>
    <x v="3"/>
    <x v="4"/>
    <n v="21"/>
    <n v="824"/>
    <n v="20"/>
    <n v="35.633652343343797"/>
    <x v="1"/>
    <n v="4.1657817954241398"/>
    <x v="1"/>
    <x v="2"/>
    <n v="823.52384588815505"/>
    <n v="5557.199602094146"/>
    <n v="-1025.7974684022456"/>
    <n v="4530.1757584027209"/>
    <n v="38"/>
    <s v="moderate"/>
  </r>
  <r>
    <x v="2"/>
    <s v="SKU94"/>
    <n v="3.0376887246314102"/>
    <n v="97"/>
    <n v="987"/>
    <n v="7888.3565466618702"/>
    <x v="2"/>
    <n v="77"/>
    <n v="26"/>
    <n v="72"/>
    <n v="9"/>
    <s v="Carrier B"/>
    <n v="6.9429459420325799"/>
    <x v="4"/>
    <x v="2"/>
    <n v="12"/>
    <n v="908"/>
    <n v="14"/>
    <n v="60.387378614862101"/>
    <x v="2"/>
    <n v="1.4636074984727701"/>
    <x v="2"/>
    <x v="0"/>
    <n v="846.66525698669398"/>
    <n v="5580.2775270757129"/>
    <n v="2308.0790195861573"/>
    <n v="7887.6491398029048"/>
    <n v="49"/>
    <s v="moderate"/>
  </r>
  <r>
    <x v="0"/>
    <s v="SKU95"/>
    <n v="77.903927219447695"/>
    <n v="65"/>
    <n v="672"/>
    <n v="7386.3639440486604"/>
    <x v="2"/>
    <n v="15"/>
    <n v="14"/>
    <n v="26"/>
    <n v="9"/>
    <s v="Carrier B"/>
    <n v="8.6303388696027508"/>
    <x v="3"/>
    <x v="0"/>
    <n v="18"/>
    <n v="450"/>
    <n v="26"/>
    <n v="58.890685768589897"/>
    <x v="0"/>
    <n v="1.21088212958506"/>
    <x v="1"/>
    <x v="2"/>
    <n v="778.86424137664699"/>
    <n v="5514.1639043932355"/>
    <n v="1872.2000396554249"/>
    <n v="7385.6174111203936"/>
    <n v="49"/>
    <s v="moderate"/>
  </r>
  <r>
    <x v="2"/>
    <s v="SKU96"/>
    <n v="24.423131420373299"/>
    <n v="29"/>
    <n v="324"/>
    <n v="7698.4247656321104"/>
    <x v="0"/>
    <n v="67"/>
    <n v="2"/>
    <n v="32"/>
    <n v="3"/>
    <s v="Carrier C"/>
    <n v="5.3528780439967996"/>
    <x v="0"/>
    <x v="0"/>
    <n v="28"/>
    <n v="648"/>
    <n v="28"/>
    <n v="17.803756331391199"/>
    <x v="0"/>
    <n v="3.8720476814821301"/>
    <x v="0"/>
    <x v="2"/>
    <n v="188.74214114905601"/>
    <n v="4920.764343340039"/>
    <n v="2777.6604222920714"/>
    <n v="7697.7855745646975"/>
    <n v="33"/>
    <s v="moderate"/>
  </r>
  <r>
    <x v="0"/>
    <s v="SKU97"/>
    <n v="3.5261112591434101"/>
    <n v="56"/>
    <n v="62"/>
    <n v="4370.9165799845296"/>
    <x v="3"/>
    <n v="46"/>
    <n v="19"/>
    <n v="4"/>
    <n v="9"/>
    <s v="Carrier A"/>
    <n v="7.9048456112096703"/>
    <x v="3"/>
    <x v="0"/>
    <n v="10"/>
    <n v="535"/>
    <n v="13"/>
    <n v="65.765155926367399"/>
    <x v="1"/>
    <n v="3.3762378347179798"/>
    <x v="0"/>
    <x v="2"/>
    <n v="540.13242286796697"/>
    <n v="5274.706592626163"/>
    <n v="-903.79001264163344"/>
    <n v="4369.7098064174525"/>
    <n v="41"/>
    <s v="moderate"/>
  </r>
  <r>
    <x v="1"/>
    <s v="SKU98"/>
    <n v="19.754604866878601"/>
    <n v="43"/>
    <n v="913"/>
    <n v="8525.9525596835192"/>
    <x v="1"/>
    <n v="53"/>
    <n v="1"/>
    <n v="27"/>
    <n v="7"/>
    <s v="Carrier B"/>
    <n v="1.4098010951380699"/>
    <x v="2"/>
    <x v="4"/>
    <n v="28"/>
    <n v="581"/>
    <n v="9"/>
    <n v="5.6046908643717801"/>
    <x v="0"/>
    <n v="2.9081221693512598"/>
    <x v="2"/>
    <x v="2"/>
    <n v="882.19886354704101"/>
    <n v="5610.2779887891656"/>
    <n v="2915.6745708943536"/>
    <n v="8525.2945360844533"/>
    <n v="17"/>
    <s v="optimal"/>
  </r>
  <r>
    <x v="0"/>
    <s v="SKU99"/>
    <n v="68.517832699276596"/>
    <n v="17"/>
    <n v="627"/>
    <n v="9185.1858291817007"/>
    <x v="2"/>
    <n v="55"/>
    <n v="8"/>
    <n v="59"/>
    <n v="6"/>
    <s v="Carrier B"/>
    <n v="1.3110237561206199"/>
    <x v="4"/>
    <x v="4"/>
    <n v="29"/>
    <n v="921"/>
    <n v="2"/>
    <n v="38.072898520625998"/>
    <x v="1"/>
    <n v="0.34602729070550298"/>
    <x v="2"/>
    <x v="0"/>
    <n v="210.743008964246"/>
    <n v="4938.7233568673528"/>
    <n v="4246.4624723143479"/>
    <n v="9184.6481456281272"/>
    <n v="16"/>
    <s v="opti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3538D-3FBA-4614-AEED-32CD1A1CBBE6}" name="PivotTable9"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U3:X24" firstHeaderRow="0" firstDataRow="1" firstDataCol="2"/>
  <pivotFields count="29">
    <pivotField compact="0" outline="0" showAll="0">
      <items count="4">
        <item x="2"/>
        <item x="0"/>
        <item x="1"/>
        <item t="default"/>
      </items>
    </pivotField>
    <pivotField compact="0" outline="0" showAll="0"/>
    <pivotField compact="0" numFmtId="165" outline="0" showAll="0"/>
    <pivotField compact="0" outline="0" showAll="0"/>
    <pivotField compact="0" outline="0" showAll="0"/>
    <pivotField compact="0" numFmtId="165" outline="0" showAll="0"/>
    <pivotField compact="0" outline="0" showAll="0">
      <items count="5">
        <item x="1"/>
        <item x="3"/>
        <item x="0"/>
        <item x="2"/>
        <item t="default"/>
      </items>
    </pivotField>
    <pivotField compact="0" outline="0" showAll="0"/>
    <pivotField compact="0" outline="0" showAll="0"/>
    <pivotField dataField="1" compact="0" outline="0" showAll="0"/>
    <pivotField compact="0" outline="0" showAll="0"/>
    <pivotField compact="0" outline="0" showAll="0"/>
    <pivotField compact="0" numFmtId="165" outline="0" showAll="0"/>
    <pivotField compact="0" outline="0" showAll="0"/>
    <pivotField axis="axisRow" compact="0" outline="0" showAll="0">
      <items count="6">
        <item x="3"/>
        <item x="4"/>
        <item x="2"/>
        <item x="1"/>
        <item x="0"/>
        <item t="default"/>
      </items>
    </pivotField>
    <pivotField compact="0" outline="0" showAll="0"/>
    <pivotField compact="0" outline="0" showAll="0"/>
    <pivotField compact="0" outline="0" showAll="0"/>
    <pivotField compact="0" numFmtId="165" outline="0" showAll="0"/>
    <pivotField compact="0" outline="0" showAll="0">
      <items count="4">
        <item x="1"/>
        <item x="2"/>
        <item x="0"/>
        <item t="default"/>
      </items>
    </pivotField>
    <pivotField compact="0" outline="0" showAll="0"/>
    <pivotField compact="0" outline="0" showAll="0"/>
    <pivotField axis="axisRow" compact="0" outline="0" showAll="0">
      <items count="4">
        <item x="2"/>
        <item x="0"/>
        <item x="1"/>
        <item t="default"/>
      </items>
    </pivotField>
    <pivotField dataField="1" compact="0" outline="0" showAll="0"/>
    <pivotField compact="0" numFmtId="1" outline="0" showAll="0"/>
    <pivotField compact="0" numFmtId="165" outline="0" showAll="0"/>
    <pivotField compact="0" numFmtId="10" outline="0" showAll="0"/>
    <pivotField compact="0" outline="0" showAll="0"/>
    <pivotField compact="0" outline="0" showAll="0"/>
  </pivotFields>
  <rowFields count="2">
    <field x="14"/>
    <field x="22"/>
  </rowFields>
  <rowItems count="21">
    <i>
      <x/>
      <x/>
    </i>
    <i r="1">
      <x v="1"/>
    </i>
    <i r="1">
      <x v="2"/>
    </i>
    <i t="default">
      <x/>
    </i>
    <i>
      <x v="1"/>
      <x/>
    </i>
    <i r="1">
      <x v="1"/>
    </i>
    <i r="1">
      <x v="2"/>
    </i>
    <i t="default">
      <x v="1"/>
    </i>
    <i>
      <x v="2"/>
      <x/>
    </i>
    <i r="1">
      <x v="1"/>
    </i>
    <i r="1">
      <x v="2"/>
    </i>
    <i t="default">
      <x v="2"/>
    </i>
    <i>
      <x v="3"/>
      <x/>
    </i>
    <i r="1">
      <x v="1"/>
    </i>
    <i r="1">
      <x v="2"/>
    </i>
    <i t="default">
      <x v="3"/>
    </i>
    <i>
      <x v="4"/>
      <x/>
    </i>
    <i r="1">
      <x v="1"/>
    </i>
    <i r="1">
      <x v="2"/>
    </i>
    <i t="default">
      <x v="4"/>
    </i>
    <i t="grand">
      <x/>
    </i>
  </rowItems>
  <colFields count="1">
    <field x="-2"/>
  </colFields>
  <colItems count="2">
    <i>
      <x/>
    </i>
    <i i="1">
      <x v="1"/>
    </i>
  </colItems>
  <dataFields count="2">
    <dataField name="Sum of Costs" fld="23" baseField="0" baseItem="0"/>
    <dataField name="Sum of Order quantities"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63DEA2-BADD-4CB7-A69F-80BEBCBA840C}"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3:S9" firstHeaderRow="0" firstDataRow="1" firstDataCol="1"/>
  <pivotFields count="29">
    <pivotField showAll="0">
      <items count="4">
        <item x="2"/>
        <item x="0"/>
        <item x="1"/>
        <item t="default"/>
      </items>
    </pivotField>
    <pivotField dataField="1" showAll="0"/>
    <pivotField numFmtId="165" showAll="0"/>
    <pivotField showAll="0"/>
    <pivotField showAll="0"/>
    <pivotField numFmtId="165" showAll="0"/>
    <pivotField showAll="0">
      <items count="5">
        <item x="1"/>
        <item x="3"/>
        <item x="0"/>
        <item x="2"/>
        <item t="default"/>
      </items>
    </pivotField>
    <pivotField showAll="0"/>
    <pivotField showAll="0"/>
    <pivotField showAll="0"/>
    <pivotField showAll="0"/>
    <pivotField showAll="0"/>
    <pivotField numFmtId="165" showAll="0"/>
    <pivotField axis="axisRow" showAll="0" sortType="descending">
      <items count="6">
        <item x="2"/>
        <item x="3"/>
        <item x="0"/>
        <item x="4"/>
        <item x="1"/>
        <item t="default"/>
      </items>
    </pivotField>
    <pivotField showAll="0">
      <items count="6">
        <item x="3"/>
        <item x="4"/>
        <item x="2"/>
        <item x="1"/>
        <item x="0"/>
        <item t="default"/>
      </items>
    </pivotField>
    <pivotField showAll="0"/>
    <pivotField showAll="0"/>
    <pivotField showAll="0"/>
    <pivotField dataField="1" numFmtId="165" showAll="0"/>
    <pivotField showAll="0">
      <items count="4">
        <item x="1"/>
        <item x="2"/>
        <item x="0"/>
        <item t="default"/>
      </items>
    </pivotField>
    <pivotField dataField="1" showAll="0"/>
    <pivotField showAll="0"/>
    <pivotField showAll="0"/>
    <pivotField showAll="0"/>
    <pivotField numFmtId="1" showAll="0"/>
    <pivotField numFmtId="165" showAll="0"/>
    <pivotField numFmtId="10" showAll="0"/>
    <pivotField showAll="0"/>
    <pivotField showAll="0"/>
  </pivotFields>
  <rowFields count="1">
    <field x="13"/>
  </rowFields>
  <rowItems count="6">
    <i>
      <x/>
    </i>
    <i>
      <x v="1"/>
    </i>
    <i>
      <x v="2"/>
    </i>
    <i>
      <x v="3"/>
    </i>
    <i>
      <x v="4"/>
    </i>
    <i t="grand">
      <x/>
    </i>
  </rowItems>
  <colFields count="1">
    <field x="-2"/>
  </colFields>
  <colItems count="3">
    <i>
      <x/>
    </i>
    <i i="1">
      <x v="1"/>
    </i>
    <i i="2">
      <x v="2"/>
    </i>
  </colItems>
  <dataFields count="3">
    <dataField name="Average of Defect rates" fld="20" subtotal="average" baseField="13" baseItem="0"/>
    <dataField name="Average of Manufacturing costs" fld="18" subtotal="average" baseField="13" baseItem="0" numFmtId="165"/>
    <dataField name="Count of SKU" fld="1" subtotal="count"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B296D-B3AB-4035-B4E2-43F53452BA04}"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3:M8" firstHeaderRow="0" firstDataRow="1" firstDataCol="1"/>
  <pivotFields count="29">
    <pivotField showAll="0">
      <items count="4">
        <item x="2"/>
        <item x="0"/>
        <item x="1"/>
        <item t="default"/>
      </items>
    </pivotField>
    <pivotField showAll="0"/>
    <pivotField numFmtId="165" showAll="0"/>
    <pivotField showAll="0"/>
    <pivotField showAll="0"/>
    <pivotField numFmtId="165" showAll="0"/>
    <pivotField showAll="0">
      <items count="5">
        <item x="1"/>
        <item x="3"/>
        <item x="0"/>
        <item x="2"/>
        <item t="default"/>
      </items>
    </pivotField>
    <pivotField showAll="0"/>
    <pivotField showAll="0"/>
    <pivotField showAll="0"/>
    <pivotField dataField="1" showAll="0"/>
    <pivotField showAll="0"/>
    <pivotField dataField="1" numFmtId="165" showAll="0"/>
    <pivotField showAll="0"/>
    <pivotField showAll="0">
      <items count="6">
        <item x="3"/>
        <item x="4"/>
        <item x="2"/>
        <item x="1"/>
        <item x="0"/>
        <item t="default"/>
      </items>
    </pivotField>
    <pivotField showAll="0"/>
    <pivotField showAll="0"/>
    <pivotField showAll="0"/>
    <pivotField numFmtId="165" showAll="0"/>
    <pivotField showAll="0">
      <items count="4">
        <item x="1"/>
        <item x="2"/>
        <item x="0"/>
        <item t="default"/>
      </items>
    </pivotField>
    <pivotField showAll="0"/>
    <pivotField axis="axisRow" showAll="0">
      <items count="5">
        <item x="1"/>
        <item x="2"/>
        <item x="0"/>
        <item x="3"/>
        <item t="default"/>
      </items>
    </pivotField>
    <pivotField showAll="0"/>
    <pivotField showAll="0"/>
    <pivotField numFmtId="1" showAll="0"/>
    <pivotField numFmtId="165" showAll="0"/>
    <pivotField numFmtId="10" showAll="0"/>
    <pivotField showAll="0"/>
    <pivotField showAll="0"/>
  </pivotFields>
  <rowFields count="1">
    <field x="21"/>
  </rowFields>
  <rowItems count="5">
    <i>
      <x/>
    </i>
    <i>
      <x v="1"/>
    </i>
    <i>
      <x v="2"/>
    </i>
    <i>
      <x v="3"/>
    </i>
    <i t="grand">
      <x/>
    </i>
  </rowItems>
  <colFields count="1">
    <field x="-2"/>
  </colFields>
  <colItems count="2">
    <i>
      <x/>
    </i>
    <i i="1">
      <x v="1"/>
    </i>
  </colItems>
  <dataFields count="2">
    <dataField name="Average of Shipping costs" fld="12" subtotal="average" baseField="21" baseItem="0" numFmtId="165"/>
    <dataField name="Average of Shipping times" fld="10" subtotal="average" baseField="21"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21" count="1" selected="0">
            <x v="0"/>
          </reference>
        </references>
      </pivotArea>
    </chartFormat>
    <chartFormat chart="14" format="24">
      <pivotArea type="data" outline="0" fieldPosition="0">
        <references count="2">
          <reference field="4294967294" count="1" selected="0">
            <x v="0"/>
          </reference>
          <reference field="21" count="1" selected="0">
            <x v="1"/>
          </reference>
        </references>
      </pivotArea>
    </chartFormat>
    <chartFormat chart="14" format="25">
      <pivotArea type="data" outline="0" fieldPosition="0">
        <references count="2">
          <reference field="4294967294" count="1" selected="0">
            <x v="0"/>
          </reference>
          <reference field="21" count="1" selected="0">
            <x v="2"/>
          </reference>
        </references>
      </pivotArea>
    </chartFormat>
    <chartFormat chart="14" format="26">
      <pivotArea type="data" outline="0" fieldPosition="0">
        <references count="2">
          <reference field="4294967294" count="1" selected="0">
            <x v="0"/>
          </reference>
          <reference field="21" count="1" selected="0">
            <x v="3"/>
          </reference>
        </references>
      </pivotArea>
    </chartFormat>
    <chartFormat chart="14" format="27" series="1">
      <pivotArea type="data" outline="0" fieldPosition="0">
        <references count="1">
          <reference field="4294967294" count="1" selected="0">
            <x v="1"/>
          </reference>
        </references>
      </pivotArea>
    </chartFormat>
    <chartFormat chart="14" format="28">
      <pivotArea type="data" outline="0" fieldPosition="0">
        <references count="2">
          <reference field="4294967294" count="1" selected="0">
            <x v="1"/>
          </reference>
          <reference field="21" count="1" selected="0">
            <x v="0"/>
          </reference>
        </references>
      </pivotArea>
    </chartFormat>
    <chartFormat chart="14" format="29">
      <pivotArea type="data" outline="0" fieldPosition="0">
        <references count="2">
          <reference field="4294967294" count="1" selected="0">
            <x v="1"/>
          </reference>
          <reference field="21" count="1" selected="0">
            <x v="1"/>
          </reference>
        </references>
      </pivotArea>
    </chartFormat>
    <chartFormat chart="14" format="30">
      <pivotArea type="data" outline="0" fieldPosition="0">
        <references count="2">
          <reference field="4294967294" count="1" selected="0">
            <x v="1"/>
          </reference>
          <reference field="21" count="1" selected="0">
            <x v="2"/>
          </reference>
        </references>
      </pivotArea>
    </chartFormat>
    <chartFormat chart="14" format="31">
      <pivotArea type="data" outline="0" fieldPosition="0">
        <references count="2">
          <reference field="4294967294" count="1" selected="0">
            <x v="1"/>
          </reference>
          <reference field="21" count="1" selected="0">
            <x v="3"/>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F1CF3-DB11-48E0-B936-E3853DE30C5D}"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7"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showAll="0"/>
    <pivotField dataField="1" numFmtId="165" showAll="0"/>
    <pivotField showAll="0">
      <items count="5">
        <item x="1"/>
        <item x="3"/>
        <item x="0"/>
        <item x="2"/>
        <item t="default"/>
      </items>
    </pivotField>
    <pivotField showAll="0"/>
    <pivotField showAll="0"/>
    <pivotField showAll="0"/>
    <pivotField showAll="0"/>
    <pivotField showAll="0"/>
    <pivotField numFmtId="165" showAll="0"/>
    <pivotField showAll="0"/>
    <pivotField showAll="0">
      <items count="6">
        <item x="3"/>
        <item x="4"/>
        <item x="2"/>
        <item x="1"/>
        <item x="0"/>
        <item t="default"/>
      </items>
    </pivotField>
    <pivotField showAll="0"/>
    <pivotField showAll="0"/>
    <pivotField showAll="0"/>
    <pivotField numFmtId="165" showAll="0"/>
    <pivotField showAll="0">
      <items count="4">
        <item x="1"/>
        <item x="2"/>
        <item x="0"/>
        <item t="default"/>
      </items>
    </pivotField>
    <pivotField showAll="0"/>
    <pivotField showAll="0"/>
    <pivotField showAll="0"/>
    <pivotField showAll="0"/>
    <pivotField numFmtId="1" showAll="0"/>
    <pivotField numFmtId="165" showAll="0"/>
    <pivotField numFmtId="10" showAll="0"/>
    <pivotField showAll="0"/>
    <pivotField showAll="0"/>
  </pivotFields>
  <rowFields count="1">
    <field x="0"/>
  </rowFields>
  <rowItems count="4">
    <i>
      <x v="2"/>
    </i>
    <i>
      <x v="1"/>
    </i>
    <i>
      <x/>
    </i>
    <i t="grand">
      <x/>
    </i>
  </rowItems>
  <colFields count="1">
    <field x="-2"/>
  </colFields>
  <colItems count="2">
    <i>
      <x/>
    </i>
    <i i="1">
      <x v="1"/>
    </i>
  </colItems>
  <dataFields count="2">
    <dataField name="Sum of Revenue generated" fld="5" baseField="0" baseItem="0" numFmtId="165"/>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85C24-B0F4-464A-A49C-EE01C0147D78}"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pivotFields count="29">
    <pivotField showAll="0">
      <items count="4">
        <item x="2"/>
        <item x="0"/>
        <item x="1"/>
        <item t="default"/>
      </items>
    </pivotField>
    <pivotField showAll="0"/>
    <pivotField numFmtId="165" showAll="0"/>
    <pivotField showAll="0"/>
    <pivotField dataField="1" showAll="0"/>
    <pivotField dataField="1" numFmtId="165" showAll="0"/>
    <pivotField showAll="0">
      <items count="5">
        <item x="1"/>
        <item x="3"/>
        <item x="0"/>
        <item x="2"/>
        <item t="default"/>
      </items>
    </pivotField>
    <pivotField showAll="0"/>
    <pivotField showAll="0"/>
    <pivotField showAll="0"/>
    <pivotField showAll="0"/>
    <pivotField showAll="0"/>
    <pivotField numFmtId="165" showAll="0"/>
    <pivotField showAll="0"/>
    <pivotField showAll="0">
      <items count="6">
        <item x="3"/>
        <item x="4"/>
        <item x="2"/>
        <item x="1"/>
        <item x="0"/>
        <item t="default"/>
      </items>
    </pivotField>
    <pivotField showAll="0"/>
    <pivotField showAll="0"/>
    <pivotField dataField="1" showAll="0"/>
    <pivotField numFmtId="165" showAll="0"/>
    <pivotField showAll="0">
      <items count="4">
        <item x="1"/>
        <item x="2"/>
        <item x="0"/>
        <item t="default"/>
      </items>
    </pivotField>
    <pivotField dataField="1" showAll="0"/>
    <pivotField showAll="0"/>
    <pivotField showAll="0"/>
    <pivotField showAll="0"/>
    <pivotField numFmtId="1" showAll="0"/>
    <pivotField numFmtId="165" showAll="0"/>
    <pivotField numFmtId="10" showAll="0"/>
    <pivotField showAll="0"/>
    <pivotField showAll="0"/>
  </pivotFields>
  <rowItems count="1">
    <i/>
  </rowItems>
  <colFields count="1">
    <field x="-2"/>
  </colFields>
  <colItems count="4">
    <i>
      <x/>
    </i>
    <i i="1">
      <x v="1"/>
    </i>
    <i i="2">
      <x v="2"/>
    </i>
    <i i="3">
      <x v="3"/>
    </i>
  </colItems>
  <dataFields count="4">
    <dataField name="Sum of Revenue generated" fld="5" baseField="0" baseItem="0" numFmtId="172"/>
    <dataField name="Sum of Number of products sold" fld="4" baseField="0" baseItem="0" numFmtId="1"/>
    <dataField name="Average of Defect rates" fld="20" subtotal="average" baseField="0" baseItem="1" numFmtId="10"/>
    <dataField name="Average of Manufacturing lead time" fld="17" subtotal="average" baseField="0" baseItem="1" numFmtId="1"/>
  </dataFields>
  <formats count="4">
    <format dxfId="47">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1"/>
          </reference>
        </references>
      </pivotArea>
    </format>
    <format dxfId="45">
      <pivotArea outline="0" collapsedLevelsAreSubtotals="1" fieldPosition="0">
        <references count="1">
          <reference field="4294967294" count="1" selected="0">
            <x v="3"/>
          </reference>
        </references>
      </pivotArea>
    </format>
    <format dxfId="44">
      <pivotArea outline="0" collapsedLevelsAreSubtotals="1" fieldPosition="0">
        <references count="1">
          <reference field="4294967294" count="1" selected="0">
            <x v="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39E7619E-ACC0-4D8E-AC3E-F688E19DA427}" sourceName="Product type">
  <pivotTables>
    <pivotTable tabId="4" name="PivotTable5"/>
    <pivotTable tabId="4" name="PivotTable6"/>
    <pivotTable tabId="4" name="PivotTable7"/>
    <pivotTable tabId="4" name="PivotTable8"/>
    <pivotTable tabId="4" name="PivotTable9"/>
  </pivotTables>
  <data>
    <tabular pivotCacheId="150803316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760D497D-6810-4ACC-9D97-36A21BDB2A47}" sourceName="Customer demographics">
  <pivotTables>
    <pivotTable tabId="4" name="PivotTable5"/>
    <pivotTable tabId="4" name="PivotTable6"/>
    <pivotTable tabId="4" name="PivotTable7"/>
    <pivotTable tabId="4" name="PivotTable8"/>
    <pivotTable tabId="4" name="PivotTable9"/>
  </pivotTables>
  <data>
    <tabular pivotCacheId="150803316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18E9431-9F66-49BC-8311-F8DC0CCE2A86}" sourceName="Location">
  <pivotTables>
    <pivotTable tabId="4" name="PivotTable5"/>
    <pivotTable tabId="4" name="PivotTable6"/>
    <pivotTable tabId="4" name="PivotTable7"/>
    <pivotTable tabId="4" name="PivotTable8"/>
    <pivotTable tabId="4" name="PivotTable9"/>
  </pivotTables>
  <data>
    <tabular pivotCacheId="1508033166">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results" xr10:uid="{B86C70F1-3DC3-4020-8B03-236B11D71E7E}" sourceName="Inspection results">
  <pivotTables>
    <pivotTable tabId="4" name="PivotTable5"/>
    <pivotTable tabId="4" name="PivotTable6"/>
    <pivotTable tabId="4" name="PivotTable7"/>
    <pivotTable tabId="4" name="PivotTable8"/>
    <pivotTable tabId="4" name="PivotTable9"/>
  </pivotTables>
  <data>
    <tabular pivotCacheId="15080331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53DD892C-CE2D-4C64-94E7-5C4A1B2EBA81}" cache="Slicer_Product_type" caption="Product type" columnCount="3" style="SlicerStyleDark2" rowHeight="234950"/>
  <slicer name="Customer demographics 1" xr10:uid="{968E8997-008B-4317-8625-6E1630188399}" cache="Slicer_Customer_demographics" caption="Customer demographics" style="SlicerStyleDark2" rowHeight="234950"/>
  <slicer name="Location 1" xr10:uid="{711D743B-0D98-47E5-8942-3A7FE188F28F}" cache="Slicer_Location" caption="Location" style="SlicerStyleDark2" rowHeight="252000"/>
  <slicer name="Inspection results 1" xr10:uid="{844728A6-5A7F-4F79-A0AC-97F140F33F03}" cache="Slicer_Inspection_results" caption="Inspection result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E6343-A71E-4FAF-82C2-3817B1D1C4E5}" name="Table1" displayName="Table1" ref="A1:AC101" totalsRowShown="0">
  <autoFilter ref="A1:AC101" xr:uid="{621E6343-A71E-4FAF-82C2-3817B1D1C4E5}"/>
  <tableColumns count="29">
    <tableColumn id="1" xr3:uid="{3F6CBE8C-9EDB-416D-880F-076FB0A87930}" name="Product type"/>
    <tableColumn id="2" xr3:uid="{F30821C6-A5FC-4C79-AD81-5BE75A7BCF12}" name="SKU"/>
    <tableColumn id="3" xr3:uid="{45321C56-5016-4621-BD11-940A8520D870}" name="Price" dataDxfId="56"/>
    <tableColumn id="4" xr3:uid="{A12D65E6-C0B6-477F-84C6-BAAAA71F7605}" name="Availability"/>
    <tableColumn id="5" xr3:uid="{F658EF2B-047B-40E6-8BB7-253D4D007C0E}" name="Number of products sold"/>
    <tableColumn id="6" xr3:uid="{D5001462-367E-42FF-B3A4-EAD01F6B092B}" name="Revenue generated" dataDxfId="55"/>
    <tableColumn id="7" xr3:uid="{18E733B3-0161-4FA0-9E08-C0513B18B219}" name="Customer demographics"/>
    <tableColumn id="8" xr3:uid="{4DE4AB73-0E7A-4777-B0F5-DF1BA164C459}" name="Stock levels"/>
    <tableColumn id="9" xr3:uid="{F584E181-DEEB-4FD4-B6BD-67C0200CE3B2}" name=" supplier_Lead times"/>
    <tableColumn id="10" xr3:uid="{43677B8B-F2E2-41A5-937F-AB22EB984CE0}" name="Order quantities"/>
    <tableColumn id="11" xr3:uid="{0496A356-85E9-48CF-9361-6C56D46C6D46}" name="Shipping times"/>
    <tableColumn id="12" xr3:uid="{4D61DEF1-EA89-4D4C-9C7B-C3B556BF37EC}" name="Shipping carriers"/>
    <tableColumn id="13" xr3:uid="{C64CB5B5-1A7F-4E8A-9A70-C7A1C89EBF2E}" name="Shipping costs" dataDxfId="54"/>
    <tableColumn id="14" xr3:uid="{99C3406D-1E6A-42CD-A199-EC8D31631B95}" name="Supplier name"/>
    <tableColumn id="15" xr3:uid="{21310125-A8A2-44D0-8A78-1D76D35825C7}" name="Location"/>
    <tableColumn id="16" xr3:uid="{6AF2E96B-9649-41F6-80D8-9F0BAC08EC73}" name="order _lead time"/>
    <tableColumn id="17" xr3:uid="{707BBD9F-61FE-4F39-B126-A9EFFF2D7C1B}" name="Production volumes"/>
    <tableColumn id="18" xr3:uid="{F4FDB146-00DC-4E76-983D-EC7BAEFF4849}" name="Manufacturing lead time"/>
    <tableColumn id="19" xr3:uid="{5E075127-68B7-4BB2-9DDA-F30CB03740C6}" name="Manufacturing costs" dataDxfId="53"/>
    <tableColumn id="20" xr3:uid="{FD7378C0-7FE7-4B2C-BF70-0A314A69995A}" name="Inspection results"/>
    <tableColumn id="21" xr3:uid="{6F1B8D1A-0A6E-47AD-8E50-0F38EA669C2B}" name="Defect rates"/>
    <tableColumn id="22" xr3:uid="{C78D4BEF-6AEF-4F76-9FE0-497D1534DB51}" name="Transportation modes"/>
    <tableColumn id="23" xr3:uid="{8083077E-20E6-4E2C-811F-6894528E560F}" name="Routes"/>
    <tableColumn id="24" xr3:uid="{AAA078E9-A60A-4CC0-88F3-A48E90A5D04A}" name="Costs"/>
    <tableColumn id="25" xr3:uid="{BADBD2CD-F54F-4B4E-AC48-AB4C8AA619F1}" name="total cost" dataDxfId="51">
      <calculatedColumnFormula>SUM(Table1[Manufacturing costs],Table1[[#This Row],[Shipping costs]],Table1[[#This Row],[Costs]])</calculatedColumnFormula>
    </tableColumn>
    <tableColumn id="26" xr3:uid="{7E5B3672-79A8-4745-BD0B-D1FDD4C2546B}" name="gross profit" dataDxfId="50">
      <calculatedColumnFormula>Table1[[#This Row],[Revenue generated]]-Table1[[#This Row],[total cost]]</calculatedColumnFormula>
    </tableColumn>
    <tableColumn id="27" xr3:uid="{3005FE7E-7E72-4D8F-AF47-B6EB06FAA14A}" name="gross profit % margin" dataDxfId="48">
      <calculatedColumnFormula>IFERROR(Table1[[#This Row],[Revenue generated]]-Table1[[#This Row],[total cost]]/Table1[[#This Row],[Revenue generated]], 0)</calculatedColumnFormula>
    </tableColumn>
    <tableColumn id="28" xr3:uid="{8CF4CBC4-5341-410C-AC79-DDBB2EE21BA5}" name="toal lead time" dataDxfId="49">
      <calculatedColumnFormula>SUM(Table1[[#This Row],[Manufacturing lead time]],Table1[[#This Row],[Shipping times]],Table1[[#This Row],[ supplier_Lead times]])</calculatedColumnFormula>
    </tableColumn>
    <tableColumn id="29" xr3:uid="{CA3A9E7E-2AD6-4EEB-B0CE-670FB7E24B8C}" name="lead time risk category" dataDxfId="52">
      <calculatedColumnFormula array="1">_xlfn.IFS(Table1[[#This Row],[toal lead time]]&gt;50, "high risk",Table1[[#This Row],[toal lead time]]&gt;=30, "moderate", "true", "optimal")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4212-8262-44C5-804E-95D482C99532}">
  <dimension ref="A1:AC101"/>
  <sheetViews>
    <sheetView topLeftCell="A2" zoomScale="126" workbookViewId="0">
      <selection activeCell="A13" sqref="A2:AC101"/>
    </sheetView>
  </sheetViews>
  <sheetFormatPr defaultRowHeight="14.4" x14ac:dyDescent="0.3"/>
  <cols>
    <col min="1" max="1" width="13" customWidth="1"/>
    <col min="4" max="4" width="11.77734375" customWidth="1"/>
    <col min="5" max="5" width="22.88671875" customWidth="1"/>
    <col min="6" max="6" width="18.77734375" customWidth="1"/>
    <col min="7" max="7" width="22.6640625" customWidth="1"/>
    <col min="8" max="8" width="12.21875" customWidth="1"/>
    <col min="9" max="9" width="17.44140625" customWidth="1"/>
    <col min="10" max="10" width="16.109375" customWidth="1"/>
    <col min="11" max="11" width="14.77734375" customWidth="1"/>
    <col min="12" max="12" width="16.33203125" customWidth="1"/>
    <col min="13" max="13" width="14.21875" customWidth="1"/>
    <col min="14" max="14" width="14.44140625" customWidth="1"/>
    <col min="15" max="15" width="9.44140625" customWidth="1"/>
    <col min="16" max="16" width="19.88671875" customWidth="1"/>
    <col min="17" max="17" width="19" customWidth="1"/>
    <col min="18" max="18" width="23.109375" customWidth="1"/>
    <col min="19" max="19" width="19.33203125" customWidth="1"/>
    <col min="20" max="20" width="17.109375" customWidth="1"/>
    <col min="21" max="21" width="12.5546875" customWidth="1"/>
    <col min="22" max="22" width="20.77734375" customWidth="1"/>
    <col min="26" max="26" width="10.33203125" bestFit="1" customWidth="1"/>
    <col min="27" max="27" width="11.21875" bestFit="1" customWidth="1"/>
    <col min="29" max="29" width="23.44140625" customWidth="1"/>
  </cols>
  <sheetData>
    <row r="1" spans="1:29" x14ac:dyDescent="0.3">
      <c r="A1" t="s">
        <v>0</v>
      </c>
      <c r="B1" t="s">
        <v>1</v>
      </c>
      <c r="C1" t="s">
        <v>2</v>
      </c>
      <c r="D1" t="s">
        <v>3</v>
      </c>
      <c r="E1" t="s">
        <v>4</v>
      </c>
      <c r="F1" t="s">
        <v>5</v>
      </c>
      <c r="G1" t="s">
        <v>6</v>
      </c>
      <c r="H1" t="s">
        <v>7</v>
      </c>
      <c r="I1" t="s">
        <v>152</v>
      </c>
      <c r="J1" t="s">
        <v>8</v>
      </c>
      <c r="K1" t="s">
        <v>9</v>
      </c>
      <c r="L1" t="s">
        <v>10</v>
      </c>
      <c r="M1" t="s">
        <v>11</v>
      </c>
      <c r="N1" t="s">
        <v>12</v>
      </c>
      <c r="O1" t="s">
        <v>13</v>
      </c>
      <c r="P1" t="s">
        <v>153</v>
      </c>
      <c r="Q1" t="s">
        <v>14</v>
      </c>
      <c r="R1" t="s">
        <v>15</v>
      </c>
      <c r="S1" t="s">
        <v>16</v>
      </c>
      <c r="T1" t="s">
        <v>17</v>
      </c>
      <c r="U1" t="s">
        <v>18</v>
      </c>
      <c r="V1" t="s">
        <v>19</v>
      </c>
      <c r="W1" t="s">
        <v>20</v>
      </c>
      <c r="X1" t="s">
        <v>21</v>
      </c>
      <c r="Y1" s="3" t="s">
        <v>154</v>
      </c>
      <c r="Z1" t="s">
        <v>155</v>
      </c>
      <c r="AA1" t="s">
        <v>156</v>
      </c>
      <c r="AB1" t="s">
        <v>157</v>
      </c>
      <c r="AC1" t="s">
        <v>158</v>
      </c>
    </row>
    <row r="2" spans="1:29" x14ac:dyDescent="0.3">
      <c r="A2" t="s">
        <v>22</v>
      </c>
      <c r="B2" t="s">
        <v>23</v>
      </c>
      <c r="C2" s="1">
        <v>69.808005542115694</v>
      </c>
      <c r="D2">
        <v>55</v>
      </c>
      <c r="E2">
        <v>802</v>
      </c>
      <c r="F2" s="1">
        <v>8661.9967923923796</v>
      </c>
      <c r="G2" t="s">
        <v>24</v>
      </c>
      <c r="H2">
        <v>58</v>
      </c>
      <c r="I2">
        <v>7</v>
      </c>
      <c r="J2">
        <v>96</v>
      </c>
      <c r="K2">
        <v>4</v>
      </c>
      <c r="L2" t="s">
        <v>25</v>
      </c>
      <c r="M2" s="1">
        <v>2.9565721394308002</v>
      </c>
      <c r="N2" t="s">
        <v>26</v>
      </c>
      <c r="O2" t="s">
        <v>27</v>
      </c>
      <c r="P2">
        <v>29</v>
      </c>
      <c r="Q2">
        <v>215</v>
      </c>
      <c r="R2">
        <v>29</v>
      </c>
      <c r="S2" s="1">
        <v>46.279879240508301</v>
      </c>
      <c r="T2" t="s">
        <v>28</v>
      </c>
      <c r="U2">
        <v>0.226410360849925</v>
      </c>
      <c r="V2" t="s">
        <v>29</v>
      </c>
      <c r="W2" t="s">
        <v>30</v>
      </c>
      <c r="X2">
        <v>187.75207545920301</v>
      </c>
      <c r="Y2" s="3">
        <f>SUM(Table1[Manufacturing costs],Table1[[#This Row],[Shipping costs]],Table1[[#This Row],[Costs]])</f>
        <v>4917.3779717456209</v>
      </c>
      <c r="Z2" s="1">
        <f>Table1[[#This Row],[Revenue generated]]-Table1[[#This Row],[total cost]]</f>
        <v>3744.6188206467586</v>
      </c>
      <c r="AA2" s="4">
        <f>IFERROR(Table1[[#This Row],[Revenue generated]]-Table1[[#This Row],[total cost]]/Table1[[#This Row],[Revenue generated]], 0)</f>
        <v>8661.4290967340221</v>
      </c>
      <c r="AB2">
        <f>SUM(Table1[[#This Row],[Manufacturing lead time]],Table1[[#This Row],[Shipping times]],Table1[[#This Row],[ supplier_Lead times]])</f>
        <v>40</v>
      </c>
      <c r="AC2" s="2" t="str" cm="1">
        <f t="array" ref="AC2">_xlfn.IFS(Table1[[#This Row],[toal lead time]]&gt;50, "high risk",Table1[[#This Row],[toal lead time]]&gt;=30, "moderate", "true", "optimal")</f>
        <v>moderate</v>
      </c>
    </row>
    <row r="3" spans="1:29" x14ac:dyDescent="0.3">
      <c r="A3" t="s">
        <v>31</v>
      </c>
      <c r="B3" t="s">
        <v>32</v>
      </c>
      <c r="C3" s="1">
        <v>14.8435232750843</v>
      </c>
      <c r="D3">
        <v>95</v>
      </c>
      <c r="E3">
        <v>736</v>
      </c>
      <c r="F3" s="1">
        <v>7460.9000654458396</v>
      </c>
      <c r="G3" t="s">
        <v>33</v>
      </c>
      <c r="H3">
        <v>53</v>
      </c>
      <c r="I3">
        <v>30</v>
      </c>
      <c r="J3">
        <v>37</v>
      </c>
      <c r="K3">
        <v>2</v>
      </c>
      <c r="L3" t="s">
        <v>34</v>
      </c>
      <c r="M3" s="1">
        <v>9.7165747714313095</v>
      </c>
      <c r="N3" t="s">
        <v>26</v>
      </c>
      <c r="O3" t="s">
        <v>27</v>
      </c>
      <c r="P3">
        <v>23</v>
      </c>
      <c r="Q3">
        <v>517</v>
      </c>
      <c r="R3">
        <v>30</v>
      </c>
      <c r="S3" s="1">
        <v>33.616768953730002</v>
      </c>
      <c r="T3" t="s">
        <v>28</v>
      </c>
      <c r="U3">
        <v>4.8540680263886999</v>
      </c>
      <c r="V3" t="s">
        <v>29</v>
      </c>
      <c r="W3" t="s">
        <v>30</v>
      </c>
      <c r="X3">
        <v>503.06557914966902</v>
      </c>
      <c r="Y3" s="3">
        <f>SUM(Table1[Manufacturing costs],Table1[[#This Row],[Shipping costs]],Table1[[#This Row],[Costs]])</f>
        <v>5239.4514780680875</v>
      </c>
      <c r="Z3" s="1">
        <f>Table1[[#This Row],[Revenue generated]]-Table1[[#This Row],[total cost]]</f>
        <v>2221.4485873777521</v>
      </c>
      <c r="AA3" s="4">
        <f>IFERROR(Table1[[#This Row],[Revenue generated]]-Table1[[#This Row],[total cost]]/Table1[[#This Row],[Revenue generated]], 0)</f>
        <v>7460.1978108341827</v>
      </c>
      <c r="AB3">
        <f>SUM(Table1[[#This Row],[Manufacturing lead time]],Table1[[#This Row],[Shipping times]],Table1[[#This Row],[ supplier_Lead times]])</f>
        <v>62</v>
      </c>
      <c r="AC3" s="2" t="str" cm="1">
        <f t="array" ref="AC3">_xlfn.IFS(Table1[[#This Row],[toal lead time]]&gt;50, "high risk",Table1[[#This Row],[toal lead time]]&gt;=30, "moderate", "true", "optimal")</f>
        <v>high risk</v>
      </c>
    </row>
    <row r="4" spans="1:29" x14ac:dyDescent="0.3">
      <c r="A4" t="s">
        <v>22</v>
      </c>
      <c r="B4" t="s">
        <v>35</v>
      </c>
      <c r="C4" s="1">
        <v>11.319683293090501</v>
      </c>
      <c r="D4">
        <v>34</v>
      </c>
      <c r="E4">
        <v>8</v>
      </c>
      <c r="F4" s="1">
        <v>9577.7496258687297</v>
      </c>
      <c r="G4" t="s">
        <v>36</v>
      </c>
      <c r="H4">
        <v>1</v>
      </c>
      <c r="I4">
        <v>10</v>
      </c>
      <c r="J4">
        <v>88</v>
      </c>
      <c r="K4">
        <v>2</v>
      </c>
      <c r="L4" t="s">
        <v>25</v>
      </c>
      <c r="M4" s="1">
        <v>8.0544792617321495</v>
      </c>
      <c r="N4" t="s">
        <v>37</v>
      </c>
      <c r="O4" t="s">
        <v>27</v>
      </c>
      <c r="P4">
        <v>12</v>
      </c>
      <c r="Q4">
        <v>971</v>
      </c>
      <c r="R4">
        <v>27</v>
      </c>
      <c r="S4" s="1">
        <v>30.6880193482842</v>
      </c>
      <c r="T4" t="s">
        <v>28</v>
      </c>
      <c r="U4">
        <v>4.5805926191992201</v>
      </c>
      <c r="V4" t="s">
        <v>38</v>
      </c>
      <c r="W4" t="s">
        <v>39</v>
      </c>
      <c r="X4">
        <v>141.920281771519</v>
      </c>
      <c r="Y4" s="3">
        <f>SUM(Table1[Manufacturing costs],Table1[[#This Row],[Shipping costs]],Table1[[#This Row],[Costs]])</f>
        <v>4876.6440851802372</v>
      </c>
      <c r="Z4" s="1">
        <f>Table1[[#This Row],[Revenue generated]]-Table1[[#This Row],[total cost]]</f>
        <v>4701.1055406884925</v>
      </c>
      <c r="AA4" s="4">
        <f>IFERROR(Table1[[#This Row],[Revenue generated]]-Table1[[#This Row],[total cost]]/Table1[[#This Row],[Revenue generated]], 0)</f>
        <v>9577.2404619966637</v>
      </c>
      <c r="AB4">
        <f>SUM(Table1[[#This Row],[Manufacturing lead time]],Table1[[#This Row],[Shipping times]],Table1[[#This Row],[ supplier_Lead times]])</f>
        <v>39</v>
      </c>
      <c r="AC4" s="2" t="str" cm="1">
        <f t="array" ref="AC4">_xlfn.IFS(Table1[[#This Row],[toal lead time]]&gt;50, "high risk",Table1[[#This Row],[toal lead time]]&gt;=30, "moderate", "true", "optimal")</f>
        <v>moderate</v>
      </c>
    </row>
    <row r="5" spans="1:29" x14ac:dyDescent="0.3">
      <c r="A5" t="s">
        <v>31</v>
      </c>
      <c r="B5" t="s">
        <v>40</v>
      </c>
      <c r="C5" s="1">
        <v>61.1633430164377</v>
      </c>
      <c r="D5">
        <v>68</v>
      </c>
      <c r="E5">
        <v>83</v>
      </c>
      <c r="F5" s="1">
        <v>7766.8364256852301</v>
      </c>
      <c r="G5" t="s">
        <v>24</v>
      </c>
      <c r="H5">
        <v>23</v>
      </c>
      <c r="I5">
        <v>13</v>
      </c>
      <c r="J5">
        <v>59</v>
      </c>
      <c r="K5">
        <v>6</v>
      </c>
      <c r="L5" t="s">
        <v>41</v>
      </c>
      <c r="M5" s="1">
        <v>1.7295685635434199</v>
      </c>
      <c r="N5" t="s">
        <v>42</v>
      </c>
      <c r="O5" t="s">
        <v>43</v>
      </c>
      <c r="P5">
        <v>24</v>
      </c>
      <c r="Q5">
        <v>937</v>
      </c>
      <c r="R5">
        <v>18</v>
      </c>
      <c r="S5" s="1">
        <v>35.624741397125</v>
      </c>
      <c r="T5" t="s">
        <v>44</v>
      </c>
      <c r="U5">
        <v>4.7466486206477496</v>
      </c>
      <c r="V5" t="s">
        <v>45</v>
      </c>
      <c r="W5" t="s">
        <v>46</v>
      </c>
      <c r="X5">
        <v>254.776159219286</v>
      </c>
      <c r="Y5" s="3">
        <f>SUM(Table1[Manufacturing costs],Table1[[#This Row],[Shipping costs]],Table1[[#This Row],[Costs]])</f>
        <v>4983.1750519298166</v>
      </c>
      <c r="Z5" s="1">
        <f>Table1[[#This Row],[Revenue generated]]-Table1[[#This Row],[total cost]]</f>
        <v>2783.6613737554135</v>
      </c>
      <c r="AA5" s="4">
        <f>IFERROR(Table1[[#This Row],[Revenue generated]]-Table1[[#This Row],[total cost]]/Table1[[#This Row],[Revenue generated]], 0)</f>
        <v>7766.194829187144</v>
      </c>
      <c r="AB5">
        <f>SUM(Table1[[#This Row],[Manufacturing lead time]],Table1[[#This Row],[Shipping times]],Table1[[#This Row],[ supplier_Lead times]])</f>
        <v>37</v>
      </c>
      <c r="AC5" s="2" t="str" cm="1">
        <f t="array" ref="AC5">_xlfn.IFS(Table1[[#This Row],[toal lead time]]&gt;50, "high risk",Table1[[#This Row],[toal lead time]]&gt;=30, "moderate", "true", "optimal")</f>
        <v>moderate</v>
      </c>
    </row>
    <row r="6" spans="1:29" x14ac:dyDescent="0.3">
      <c r="A6" t="s">
        <v>31</v>
      </c>
      <c r="B6" t="s">
        <v>47</v>
      </c>
      <c r="C6" s="1">
        <v>4.8054960363458896</v>
      </c>
      <c r="D6">
        <v>26</v>
      </c>
      <c r="E6">
        <v>871</v>
      </c>
      <c r="F6" s="1">
        <v>2686.50515156744</v>
      </c>
      <c r="G6" t="s">
        <v>24</v>
      </c>
      <c r="H6">
        <v>5</v>
      </c>
      <c r="I6">
        <v>3</v>
      </c>
      <c r="J6">
        <v>56</v>
      </c>
      <c r="K6">
        <v>8</v>
      </c>
      <c r="L6" t="s">
        <v>34</v>
      </c>
      <c r="M6" s="1">
        <v>3.8905479158706702</v>
      </c>
      <c r="N6" t="s">
        <v>37</v>
      </c>
      <c r="O6" t="s">
        <v>48</v>
      </c>
      <c r="P6">
        <v>5</v>
      </c>
      <c r="Q6">
        <v>414</v>
      </c>
      <c r="R6">
        <v>3</v>
      </c>
      <c r="S6" s="1">
        <v>92.065160598712794</v>
      </c>
      <c r="T6" t="s">
        <v>44</v>
      </c>
      <c r="U6">
        <v>3.1455795228330001</v>
      </c>
      <c r="V6" t="s">
        <v>38</v>
      </c>
      <c r="W6" t="s">
        <v>46</v>
      </c>
      <c r="X6">
        <v>923.44063171192204</v>
      </c>
      <c r="Y6" s="3">
        <f>SUM(Table1[Manufacturing costs],Table1[[#This Row],[Shipping costs]],Table1[[#This Row],[Costs]])</f>
        <v>5654.0005037747787</v>
      </c>
      <c r="Z6" s="1">
        <f>Table1[[#This Row],[Revenue generated]]-Table1[[#This Row],[total cost]]</f>
        <v>-2967.4953522073388</v>
      </c>
      <c r="AA6" s="4">
        <f>IFERROR(Table1[[#This Row],[Revenue generated]]-Table1[[#This Row],[total cost]]/Table1[[#This Row],[Revenue generated]], 0)</f>
        <v>2684.4005583562653</v>
      </c>
      <c r="AB6">
        <f>SUM(Table1[[#This Row],[Manufacturing lead time]],Table1[[#This Row],[Shipping times]],Table1[[#This Row],[ supplier_Lead times]])</f>
        <v>14</v>
      </c>
      <c r="AC6" s="2" t="str" cm="1">
        <f t="array" ref="AC6">_xlfn.IFS(Table1[[#This Row],[toal lead time]]&gt;50, "high risk",Table1[[#This Row],[toal lead time]]&gt;=30, "moderate", "true", "optimal")</f>
        <v>optimal</v>
      </c>
    </row>
    <row r="7" spans="1:29" x14ac:dyDescent="0.3">
      <c r="A7" t="s">
        <v>22</v>
      </c>
      <c r="B7" t="s">
        <v>49</v>
      </c>
      <c r="C7" s="1">
        <v>1.6999760138659299</v>
      </c>
      <c r="D7">
        <v>87</v>
      </c>
      <c r="E7">
        <v>147</v>
      </c>
      <c r="F7" s="1">
        <v>2828.3487459757498</v>
      </c>
      <c r="G7" t="s">
        <v>24</v>
      </c>
      <c r="H7">
        <v>90</v>
      </c>
      <c r="I7">
        <v>27</v>
      </c>
      <c r="J7">
        <v>66</v>
      </c>
      <c r="K7">
        <v>3</v>
      </c>
      <c r="L7" t="s">
        <v>25</v>
      </c>
      <c r="M7" s="1">
        <v>4.4440988643822896</v>
      </c>
      <c r="N7" t="s">
        <v>50</v>
      </c>
      <c r="O7" t="s">
        <v>51</v>
      </c>
      <c r="P7">
        <v>10</v>
      </c>
      <c r="Q7">
        <v>104</v>
      </c>
      <c r="R7">
        <v>17</v>
      </c>
      <c r="S7" s="1">
        <v>56.766475557431797</v>
      </c>
      <c r="T7" t="s">
        <v>44</v>
      </c>
      <c r="U7">
        <v>2.7791935115711599</v>
      </c>
      <c r="V7" t="s">
        <v>29</v>
      </c>
      <c r="W7" t="s">
        <v>46</v>
      </c>
      <c r="X7">
        <v>235.461236735537</v>
      </c>
      <c r="Y7" s="3">
        <f>SUM(Table1[Manufacturing costs],Table1[[#This Row],[Shipping costs]],Table1[[#This Row],[Costs]])</f>
        <v>4966.5746597469051</v>
      </c>
      <c r="Z7" s="1">
        <f>Table1[[#This Row],[Revenue generated]]-Table1[[#This Row],[total cost]]</f>
        <v>-2138.2259137711553</v>
      </c>
      <c r="AA7" s="4">
        <f>IFERROR(Table1[[#This Row],[Revenue generated]]-Table1[[#This Row],[total cost]]/Table1[[#This Row],[Revenue generated]], 0)</f>
        <v>2826.5927480045611</v>
      </c>
      <c r="AB7">
        <f>SUM(Table1[[#This Row],[Manufacturing lead time]],Table1[[#This Row],[Shipping times]],Table1[[#This Row],[ supplier_Lead times]])</f>
        <v>47</v>
      </c>
      <c r="AC7" s="2" t="str" cm="1">
        <f t="array" ref="AC7">_xlfn.IFS(Table1[[#This Row],[toal lead time]]&gt;50, "high risk",Table1[[#This Row],[toal lead time]]&gt;=30, "moderate", "true", "optimal")</f>
        <v>moderate</v>
      </c>
    </row>
    <row r="8" spans="1:29" x14ac:dyDescent="0.3">
      <c r="A8" t="s">
        <v>31</v>
      </c>
      <c r="B8" t="s">
        <v>52</v>
      </c>
      <c r="C8" s="1">
        <v>4.0783328631079403</v>
      </c>
      <c r="D8">
        <v>48</v>
      </c>
      <c r="E8">
        <v>65</v>
      </c>
      <c r="F8" s="1">
        <v>7823.4765595317303</v>
      </c>
      <c r="G8" t="s">
        <v>53</v>
      </c>
      <c r="H8">
        <v>11</v>
      </c>
      <c r="I8">
        <v>15</v>
      </c>
      <c r="J8">
        <v>58</v>
      </c>
      <c r="K8">
        <v>8</v>
      </c>
      <c r="L8" t="s">
        <v>41</v>
      </c>
      <c r="M8" s="1">
        <v>3.8807633029519999</v>
      </c>
      <c r="N8" t="s">
        <v>26</v>
      </c>
      <c r="O8" t="s">
        <v>43</v>
      </c>
      <c r="P8">
        <v>14</v>
      </c>
      <c r="Q8">
        <v>314</v>
      </c>
      <c r="R8">
        <v>24</v>
      </c>
      <c r="S8" s="1">
        <v>1.0850685695870601</v>
      </c>
      <c r="T8" t="s">
        <v>28</v>
      </c>
      <c r="U8">
        <v>1.0009106193041299</v>
      </c>
      <c r="V8" t="s">
        <v>54</v>
      </c>
      <c r="W8" t="s">
        <v>46</v>
      </c>
      <c r="X8">
        <v>134.36909686103101</v>
      </c>
      <c r="Y8" s="3">
        <f>SUM(Table1[Manufacturing costs],Table1[[#This Row],[Shipping costs]],Table1[[#This Row],[Costs]])</f>
        <v>4864.9191843109693</v>
      </c>
      <c r="Z8" s="1">
        <f>Table1[[#This Row],[Revenue generated]]-Table1[[#This Row],[total cost]]</f>
        <v>2958.5573752207611</v>
      </c>
      <c r="AA8" s="4">
        <f>IFERROR(Table1[[#This Row],[Revenue generated]]-Table1[[#This Row],[total cost]]/Table1[[#This Row],[Revenue generated]], 0)</f>
        <v>7822.8547235554488</v>
      </c>
      <c r="AB8">
        <f>SUM(Table1[[#This Row],[Manufacturing lead time]],Table1[[#This Row],[Shipping times]],Table1[[#This Row],[ supplier_Lead times]])</f>
        <v>47</v>
      </c>
      <c r="AC8" s="2" t="str" cm="1">
        <f t="array" ref="AC8">_xlfn.IFS(Table1[[#This Row],[toal lead time]]&gt;50, "high risk",Table1[[#This Row],[toal lead time]]&gt;=30, "moderate", "true", "optimal")</f>
        <v>moderate</v>
      </c>
    </row>
    <row r="9" spans="1:29" x14ac:dyDescent="0.3">
      <c r="A9" t="s">
        <v>55</v>
      </c>
      <c r="B9" t="s">
        <v>56</v>
      </c>
      <c r="C9" s="1">
        <v>42.958384382459997</v>
      </c>
      <c r="D9">
        <v>59</v>
      </c>
      <c r="E9">
        <v>426</v>
      </c>
      <c r="F9" s="1">
        <v>8496.1038130898305</v>
      </c>
      <c r="G9" t="s">
        <v>33</v>
      </c>
      <c r="H9">
        <v>93</v>
      </c>
      <c r="I9">
        <v>17</v>
      </c>
      <c r="J9">
        <v>11</v>
      </c>
      <c r="K9">
        <v>1</v>
      </c>
      <c r="L9" t="s">
        <v>25</v>
      </c>
      <c r="M9" s="1">
        <v>2.3483387844177801</v>
      </c>
      <c r="N9" t="s">
        <v>50</v>
      </c>
      <c r="O9" t="s">
        <v>51</v>
      </c>
      <c r="P9">
        <v>22</v>
      </c>
      <c r="Q9">
        <v>564</v>
      </c>
      <c r="R9">
        <v>1</v>
      </c>
      <c r="S9" s="1">
        <v>99.466108603599096</v>
      </c>
      <c r="T9" t="s">
        <v>44</v>
      </c>
      <c r="U9">
        <v>0.39817718685065001</v>
      </c>
      <c r="V9" t="s">
        <v>29</v>
      </c>
      <c r="W9" t="s">
        <v>39</v>
      </c>
      <c r="X9">
        <v>802.05631181755803</v>
      </c>
      <c r="Y9" s="3">
        <f>SUM(Table1[Manufacturing costs],Table1[[#This Row],[Shipping costs]],Table1[[#This Row],[Costs]])</f>
        <v>5531.0739747489624</v>
      </c>
      <c r="Z9" s="1">
        <f>Table1[[#This Row],[Revenue generated]]-Table1[[#This Row],[total cost]]</f>
        <v>2965.0298383408681</v>
      </c>
      <c r="AA9" s="4">
        <f>IFERROR(Table1[[#This Row],[Revenue generated]]-Table1[[#This Row],[total cost]]/Table1[[#This Row],[Revenue generated]], 0)</f>
        <v>8495.4528000965311</v>
      </c>
      <c r="AB9">
        <f>SUM(Table1[[#This Row],[Manufacturing lead time]],Table1[[#This Row],[Shipping times]],Table1[[#This Row],[ supplier_Lead times]])</f>
        <v>19</v>
      </c>
      <c r="AC9" s="2" t="str" cm="1">
        <f t="array" ref="AC9">_xlfn.IFS(Table1[[#This Row],[toal lead time]]&gt;50, "high risk",Table1[[#This Row],[toal lead time]]&gt;=30, "moderate", "true", "optimal")</f>
        <v>optimal</v>
      </c>
    </row>
    <row r="10" spans="1:29" x14ac:dyDescent="0.3">
      <c r="A10" t="s">
        <v>55</v>
      </c>
      <c r="B10" t="s">
        <v>57</v>
      </c>
      <c r="C10" s="1">
        <v>68.717596748527299</v>
      </c>
      <c r="D10">
        <v>78</v>
      </c>
      <c r="E10">
        <v>150</v>
      </c>
      <c r="F10" s="1">
        <v>7517.3632106311197</v>
      </c>
      <c r="G10" t="s">
        <v>33</v>
      </c>
      <c r="H10">
        <v>5</v>
      </c>
      <c r="I10">
        <v>10</v>
      </c>
      <c r="J10">
        <v>15</v>
      </c>
      <c r="K10">
        <v>7</v>
      </c>
      <c r="L10" t="s">
        <v>41</v>
      </c>
      <c r="M10" s="1">
        <v>3.4047338570830199</v>
      </c>
      <c r="N10" t="s">
        <v>50</v>
      </c>
      <c r="O10" t="s">
        <v>27</v>
      </c>
      <c r="P10">
        <v>13</v>
      </c>
      <c r="Q10">
        <v>769</v>
      </c>
      <c r="R10">
        <v>8</v>
      </c>
      <c r="S10" s="1">
        <v>11.423027139565599</v>
      </c>
      <c r="T10" t="s">
        <v>28</v>
      </c>
      <c r="U10">
        <v>2.7098626911099601</v>
      </c>
      <c r="V10" t="s">
        <v>54</v>
      </c>
      <c r="W10" t="s">
        <v>30</v>
      </c>
      <c r="X10">
        <v>505.55713422546398</v>
      </c>
      <c r="Y10" s="3">
        <f>SUM(Table1[Manufacturing costs],Table1[[#This Row],[Shipping costs]],Table1[[#This Row],[Costs]])</f>
        <v>5235.6311922295336</v>
      </c>
      <c r="Z10" s="1">
        <f>Table1[[#This Row],[Revenue generated]]-Table1[[#This Row],[total cost]]</f>
        <v>2281.7320184015862</v>
      </c>
      <c r="AA10" s="4">
        <f>IFERROR(Table1[[#This Row],[Revenue generated]]-Table1[[#This Row],[total cost]]/Table1[[#This Row],[Revenue generated]], 0)</f>
        <v>7516.6667388702735</v>
      </c>
      <c r="AB10">
        <f>SUM(Table1[[#This Row],[Manufacturing lead time]],Table1[[#This Row],[Shipping times]],Table1[[#This Row],[ supplier_Lead times]])</f>
        <v>25</v>
      </c>
      <c r="AC10" s="2" t="str" cm="1">
        <f t="array" ref="AC10">_xlfn.IFS(Table1[[#This Row],[toal lead time]]&gt;50, "high risk",Table1[[#This Row],[toal lead time]]&gt;=30, "moderate", "true", "optimal")</f>
        <v>optimal</v>
      </c>
    </row>
    <row r="11" spans="1:29" x14ac:dyDescent="0.3">
      <c r="A11" t="s">
        <v>31</v>
      </c>
      <c r="B11" t="s">
        <v>58</v>
      </c>
      <c r="C11" s="1">
        <v>64.0157329412785</v>
      </c>
      <c r="D11">
        <v>35</v>
      </c>
      <c r="E11">
        <v>980</v>
      </c>
      <c r="F11" s="1">
        <v>4971.1459875855498</v>
      </c>
      <c r="G11" t="s">
        <v>36</v>
      </c>
      <c r="H11">
        <v>14</v>
      </c>
      <c r="I11">
        <v>27</v>
      </c>
      <c r="J11">
        <v>83</v>
      </c>
      <c r="K11">
        <v>1</v>
      </c>
      <c r="L11" t="s">
        <v>34</v>
      </c>
      <c r="M11" s="1">
        <v>7.1666452910482104</v>
      </c>
      <c r="N11" t="s">
        <v>59</v>
      </c>
      <c r="O11" t="s">
        <v>60</v>
      </c>
      <c r="P11">
        <v>29</v>
      </c>
      <c r="Q11">
        <v>963</v>
      </c>
      <c r="R11">
        <v>23</v>
      </c>
      <c r="S11" s="1">
        <v>47.957601634951502</v>
      </c>
      <c r="T11" t="s">
        <v>28</v>
      </c>
      <c r="U11">
        <v>3.8446144787675798</v>
      </c>
      <c r="V11" t="s">
        <v>45</v>
      </c>
      <c r="W11" t="s">
        <v>30</v>
      </c>
      <c r="X11">
        <v>995.92946149864099</v>
      </c>
      <c r="Y11" s="3">
        <f>SUM(Table1[Manufacturing costs],Table1[[#This Row],[Shipping costs]],Table1[[#This Row],[Costs]])</f>
        <v>5729.7654309366762</v>
      </c>
      <c r="Z11" s="1">
        <f>Table1[[#This Row],[Revenue generated]]-Table1[[#This Row],[total cost]]</f>
        <v>-758.61944335112639</v>
      </c>
      <c r="AA11" s="4">
        <f>IFERROR(Table1[[#This Row],[Revenue generated]]-Table1[[#This Row],[total cost]]/Table1[[#This Row],[Revenue generated]], 0)</f>
        <v>4969.9933830462251</v>
      </c>
      <c r="AB11">
        <f>SUM(Table1[[#This Row],[Manufacturing lead time]],Table1[[#This Row],[Shipping times]],Table1[[#This Row],[ supplier_Lead times]])</f>
        <v>51</v>
      </c>
      <c r="AC11" s="2" t="str" cm="1">
        <f t="array" ref="AC11">_xlfn.IFS(Table1[[#This Row],[toal lead time]]&gt;50, "high risk",Table1[[#This Row],[toal lead time]]&gt;=30, "moderate", "true", "optimal")</f>
        <v>high risk</v>
      </c>
    </row>
    <row r="12" spans="1:29" x14ac:dyDescent="0.3">
      <c r="A12" t="s">
        <v>31</v>
      </c>
      <c r="B12" t="s">
        <v>61</v>
      </c>
      <c r="C12" s="1">
        <v>15.707795681912099</v>
      </c>
      <c r="D12">
        <v>11</v>
      </c>
      <c r="E12">
        <v>996</v>
      </c>
      <c r="F12" s="1">
        <v>2330.9658020919401</v>
      </c>
      <c r="G12" t="s">
        <v>24</v>
      </c>
      <c r="H12">
        <v>51</v>
      </c>
      <c r="I12">
        <v>13</v>
      </c>
      <c r="J12">
        <v>80</v>
      </c>
      <c r="K12">
        <v>2</v>
      </c>
      <c r="L12" t="s">
        <v>41</v>
      </c>
      <c r="M12" s="1">
        <v>8.6732112112786108</v>
      </c>
      <c r="N12" t="s">
        <v>42</v>
      </c>
      <c r="O12" t="s">
        <v>43</v>
      </c>
      <c r="P12">
        <v>18</v>
      </c>
      <c r="Q12">
        <v>830</v>
      </c>
      <c r="R12">
        <v>5</v>
      </c>
      <c r="S12" s="1">
        <v>96.527352785310896</v>
      </c>
      <c r="T12" t="s">
        <v>62</v>
      </c>
      <c r="U12">
        <v>1.72731392835594</v>
      </c>
      <c r="V12" t="s">
        <v>29</v>
      </c>
      <c r="W12" t="s">
        <v>30</v>
      </c>
      <c r="X12">
        <v>806.10317770292295</v>
      </c>
      <c r="Y12" s="3">
        <f>SUM(Table1[Manufacturing costs],Table1[[#This Row],[Shipping costs]],Table1[[#This Row],[Costs]])</f>
        <v>5541.4457130611881</v>
      </c>
      <c r="Z12" s="1">
        <f>Table1[[#This Row],[Revenue generated]]-Table1[[#This Row],[total cost]]</f>
        <v>-3210.4799109692481</v>
      </c>
      <c r="AA12" s="4">
        <f>IFERROR(Table1[[#This Row],[Revenue generated]]-Table1[[#This Row],[total cost]]/Table1[[#This Row],[Revenue generated]], 0)</f>
        <v>2328.5884846263266</v>
      </c>
      <c r="AB12">
        <f>SUM(Table1[[#This Row],[Manufacturing lead time]],Table1[[#This Row],[Shipping times]],Table1[[#This Row],[ supplier_Lead times]])</f>
        <v>20</v>
      </c>
      <c r="AC12" s="2" t="str" cm="1">
        <f t="array" ref="AC12">_xlfn.IFS(Table1[[#This Row],[toal lead time]]&gt;50, "high risk",Table1[[#This Row],[toal lead time]]&gt;=30, "moderate", "true", "optimal")</f>
        <v>optimal</v>
      </c>
    </row>
    <row r="13" spans="1:29" x14ac:dyDescent="0.3">
      <c r="A13" t="s">
        <v>31</v>
      </c>
      <c r="B13" t="s">
        <v>63</v>
      </c>
      <c r="C13" s="1">
        <v>90.635459982288594</v>
      </c>
      <c r="D13">
        <v>95</v>
      </c>
      <c r="E13">
        <v>960</v>
      </c>
      <c r="F13" s="1">
        <v>6099.9441155814502</v>
      </c>
      <c r="G13" t="s">
        <v>33</v>
      </c>
      <c r="H13">
        <v>46</v>
      </c>
      <c r="I13">
        <v>23</v>
      </c>
      <c r="J13">
        <v>60</v>
      </c>
      <c r="K13">
        <v>1</v>
      </c>
      <c r="L13" t="s">
        <v>34</v>
      </c>
      <c r="M13" s="1">
        <v>4.5239431243166601</v>
      </c>
      <c r="N13" t="s">
        <v>59</v>
      </c>
      <c r="O13" t="s">
        <v>43</v>
      </c>
      <c r="P13">
        <v>28</v>
      </c>
      <c r="Q13">
        <v>362</v>
      </c>
      <c r="R13">
        <v>11</v>
      </c>
      <c r="S13" s="1">
        <v>27.5923630866636</v>
      </c>
      <c r="T13" t="s">
        <v>28</v>
      </c>
      <c r="U13">
        <v>2.1169821372994301E-2</v>
      </c>
      <c r="V13" t="s">
        <v>38</v>
      </c>
      <c r="W13" t="s">
        <v>46</v>
      </c>
      <c r="X13">
        <v>126.72303340940699</v>
      </c>
      <c r="Y13" s="3">
        <f>SUM(Table1[Manufacturing costs],Table1[[#This Row],[Shipping costs]],Table1[[#This Row],[Costs]])</f>
        <v>4857.9163006807103</v>
      </c>
      <c r="Z13" s="1">
        <f>Table1[[#This Row],[Revenue generated]]-Table1[[#This Row],[total cost]]</f>
        <v>1242.0278149007399</v>
      </c>
      <c r="AA13" s="4">
        <f>IFERROR(Table1[[#This Row],[Revenue generated]]-Table1[[#This Row],[total cost]]/Table1[[#This Row],[Revenue generated]], 0)</f>
        <v>6099.1477285640231</v>
      </c>
      <c r="AB13">
        <f>SUM(Table1[[#This Row],[Manufacturing lead time]],Table1[[#This Row],[Shipping times]],Table1[[#This Row],[ supplier_Lead times]])</f>
        <v>35</v>
      </c>
      <c r="AC13" s="2" t="str" cm="1">
        <f t="array" ref="AC13">_xlfn.IFS(Table1[[#This Row],[toal lead time]]&gt;50, "high risk",Table1[[#This Row],[toal lead time]]&gt;=30, "moderate", "true", "optimal")</f>
        <v>moderate</v>
      </c>
    </row>
    <row r="14" spans="1:29" x14ac:dyDescent="0.3">
      <c r="A14" t="s">
        <v>22</v>
      </c>
      <c r="B14" t="s">
        <v>64</v>
      </c>
      <c r="C14" s="1">
        <v>71.213389075359999</v>
      </c>
      <c r="D14">
        <v>41</v>
      </c>
      <c r="E14">
        <v>336</v>
      </c>
      <c r="F14" s="1">
        <v>2873.74144602144</v>
      </c>
      <c r="G14" t="s">
        <v>36</v>
      </c>
      <c r="H14">
        <v>100</v>
      </c>
      <c r="I14">
        <v>30</v>
      </c>
      <c r="J14">
        <v>85</v>
      </c>
      <c r="K14">
        <v>4</v>
      </c>
      <c r="L14" t="s">
        <v>34</v>
      </c>
      <c r="M14" s="1">
        <v>1.32527401018452</v>
      </c>
      <c r="N14" t="s">
        <v>50</v>
      </c>
      <c r="O14" t="s">
        <v>43</v>
      </c>
      <c r="P14">
        <v>3</v>
      </c>
      <c r="Q14">
        <v>563</v>
      </c>
      <c r="R14">
        <v>3</v>
      </c>
      <c r="S14" s="1">
        <v>32.321286213424003</v>
      </c>
      <c r="T14" t="s">
        <v>44</v>
      </c>
      <c r="U14">
        <v>2.1612537475559099</v>
      </c>
      <c r="V14" t="s">
        <v>29</v>
      </c>
      <c r="W14" t="s">
        <v>30</v>
      </c>
      <c r="X14">
        <v>402.96878907376998</v>
      </c>
      <c r="Y14" s="3">
        <f>SUM(Table1[Manufacturing costs],Table1[[#This Row],[Shipping costs]],Table1[[#This Row],[Costs]])</f>
        <v>5130.9633872309405</v>
      </c>
      <c r="Z14" s="1">
        <f>Table1[[#This Row],[Revenue generated]]-Table1[[#This Row],[total cost]]</f>
        <v>-2257.2219412095005</v>
      </c>
      <c r="AA14" s="4">
        <f>IFERROR(Table1[[#This Row],[Revenue generated]]-Table1[[#This Row],[total cost]]/Table1[[#This Row],[Revenue generated]], 0)</f>
        <v>2871.9559815029343</v>
      </c>
      <c r="AB14">
        <f>SUM(Table1[[#This Row],[Manufacturing lead time]],Table1[[#This Row],[Shipping times]],Table1[[#This Row],[ supplier_Lead times]])</f>
        <v>37</v>
      </c>
      <c r="AC14" s="2" t="str" cm="1">
        <f t="array" ref="AC14">_xlfn.IFS(Table1[[#This Row],[toal lead time]]&gt;50, "high risk",Table1[[#This Row],[toal lead time]]&gt;=30, "moderate", "true", "optimal")</f>
        <v>moderate</v>
      </c>
    </row>
    <row r="15" spans="1:29" x14ac:dyDescent="0.3">
      <c r="A15" t="s">
        <v>31</v>
      </c>
      <c r="B15" t="s">
        <v>65</v>
      </c>
      <c r="C15" s="1">
        <v>16.160393317379899</v>
      </c>
      <c r="D15">
        <v>5</v>
      </c>
      <c r="E15">
        <v>249</v>
      </c>
      <c r="F15" s="1">
        <v>4052.7384162378598</v>
      </c>
      <c r="G15" t="s">
        <v>53</v>
      </c>
      <c r="H15">
        <v>80</v>
      </c>
      <c r="I15">
        <v>8</v>
      </c>
      <c r="J15">
        <v>48</v>
      </c>
      <c r="K15">
        <v>9</v>
      </c>
      <c r="L15" t="s">
        <v>34</v>
      </c>
      <c r="M15" s="1">
        <v>9.5372830611083295</v>
      </c>
      <c r="N15" t="s">
        <v>42</v>
      </c>
      <c r="O15" t="s">
        <v>51</v>
      </c>
      <c r="P15">
        <v>23</v>
      </c>
      <c r="Q15">
        <v>173</v>
      </c>
      <c r="R15">
        <v>10</v>
      </c>
      <c r="S15" s="1">
        <v>97.829050110173199</v>
      </c>
      <c r="T15" t="s">
        <v>28</v>
      </c>
      <c r="U15">
        <v>1.63107423007153</v>
      </c>
      <c r="V15" t="s">
        <v>29</v>
      </c>
      <c r="W15" t="s">
        <v>30</v>
      </c>
      <c r="X15">
        <v>547.24100516096803</v>
      </c>
      <c r="Y15" s="3">
        <f>SUM(Table1[Manufacturing costs],Table1[[#This Row],[Shipping costs]],Table1[[#This Row],[Costs]])</f>
        <v>5283.4476123690629</v>
      </c>
      <c r="Z15" s="1">
        <f>Table1[[#This Row],[Revenue generated]]-Table1[[#This Row],[total cost]]</f>
        <v>-1230.709196131203</v>
      </c>
      <c r="AA15" s="4">
        <f>IFERROR(Table1[[#This Row],[Revenue generated]]-Table1[[#This Row],[total cost]]/Table1[[#This Row],[Revenue generated]], 0)</f>
        <v>4051.4347427534817</v>
      </c>
      <c r="AB15">
        <f>SUM(Table1[[#This Row],[Manufacturing lead time]],Table1[[#This Row],[Shipping times]],Table1[[#This Row],[ supplier_Lead times]])</f>
        <v>27</v>
      </c>
      <c r="AC15" s="2" t="str" cm="1">
        <f t="array" ref="AC15">_xlfn.IFS(Table1[[#This Row],[toal lead time]]&gt;50, "high risk",Table1[[#This Row],[toal lead time]]&gt;=30, "moderate", "true", "optimal")</f>
        <v>optimal</v>
      </c>
    </row>
    <row r="16" spans="1:29" x14ac:dyDescent="0.3">
      <c r="A16" t="s">
        <v>31</v>
      </c>
      <c r="B16" t="s">
        <v>66</v>
      </c>
      <c r="C16" s="1">
        <v>99.171328638624104</v>
      </c>
      <c r="D16">
        <v>26</v>
      </c>
      <c r="E16">
        <v>562</v>
      </c>
      <c r="F16" s="1">
        <v>8653.5709264697998</v>
      </c>
      <c r="G16" t="s">
        <v>24</v>
      </c>
      <c r="H16">
        <v>54</v>
      </c>
      <c r="I16">
        <v>29</v>
      </c>
      <c r="J16">
        <v>78</v>
      </c>
      <c r="K16">
        <v>5</v>
      </c>
      <c r="L16" t="s">
        <v>25</v>
      </c>
      <c r="M16" s="1">
        <v>2.0397701894493299</v>
      </c>
      <c r="N16" t="s">
        <v>37</v>
      </c>
      <c r="O16" t="s">
        <v>43</v>
      </c>
      <c r="P16">
        <v>25</v>
      </c>
      <c r="Q16">
        <v>558</v>
      </c>
      <c r="R16">
        <v>14</v>
      </c>
      <c r="S16" s="1">
        <v>5.7914366298629796</v>
      </c>
      <c r="T16" t="s">
        <v>28</v>
      </c>
      <c r="U16">
        <v>0.100682851565093</v>
      </c>
      <c r="V16" t="s">
        <v>38</v>
      </c>
      <c r="W16" t="s">
        <v>30</v>
      </c>
      <c r="X16">
        <v>929.23528996088896</v>
      </c>
      <c r="Y16" s="3">
        <f>SUM(Table1[Manufacturing costs],Table1[[#This Row],[Shipping costs]],Table1[[#This Row],[Costs]])</f>
        <v>5657.9443842973242</v>
      </c>
      <c r="Z16" s="1">
        <f>Table1[[#This Row],[Revenue generated]]-Table1[[#This Row],[total cost]]</f>
        <v>2995.6265421724756</v>
      </c>
      <c r="AA16" s="4">
        <f>IFERROR(Table1[[#This Row],[Revenue generated]]-Table1[[#This Row],[total cost]]/Table1[[#This Row],[Revenue generated]], 0)</f>
        <v>8652.9170987687994</v>
      </c>
      <c r="AB16">
        <f>SUM(Table1[[#This Row],[Manufacturing lead time]],Table1[[#This Row],[Shipping times]],Table1[[#This Row],[ supplier_Lead times]])</f>
        <v>48</v>
      </c>
      <c r="AC16" s="2" t="str" cm="1">
        <f t="array" ref="AC16">_xlfn.IFS(Table1[[#This Row],[toal lead time]]&gt;50, "high risk",Table1[[#This Row],[toal lead time]]&gt;=30, "moderate", "true", "optimal")</f>
        <v>moderate</v>
      </c>
    </row>
    <row r="17" spans="1:29" x14ac:dyDescent="0.3">
      <c r="A17" t="s">
        <v>31</v>
      </c>
      <c r="B17" t="s">
        <v>67</v>
      </c>
      <c r="C17" s="1">
        <v>36.989244928626903</v>
      </c>
      <c r="D17">
        <v>94</v>
      </c>
      <c r="E17">
        <v>469</v>
      </c>
      <c r="F17" s="1">
        <v>5442.0867853976697</v>
      </c>
      <c r="G17" t="s">
        <v>24</v>
      </c>
      <c r="H17">
        <v>9</v>
      </c>
      <c r="I17">
        <v>8</v>
      </c>
      <c r="J17">
        <v>69</v>
      </c>
      <c r="K17">
        <v>7</v>
      </c>
      <c r="L17" t="s">
        <v>25</v>
      </c>
      <c r="M17" s="1">
        <v>2.4220397232752</v>
      </c>
      <c r="N17" t="s">
        <v>37</v>
      </c>
      <c r="O17" t="s">
        <v>51</v>
      </c>
      <c r="P17">
        <v>14</v>
      </c>
      <c r="Q17">
        <v>580</v>
      </c>
      <c r="R17">
        <v>7</v>
      </c>
      <c r="S17" s="1">
        <v>97.121281751474299</v>
      </c>
      <c r="T17" t="s">
        <v>62</v>
      </c>
      <c r="U17">
        <v>2.2644057611985402</v>
      </c>
      <c r="V17" t="s">
        <v>54</v>
      </c>
      <c r="W17" t="s">
        <v>30</v>
      </c>
      <c r="X17">
        <v>127.861800001625</v>
      </c>
      <c r="Y17" s="3">
        <f>SUM(Table1[Manufacturing costs],Table1[[#This Row],[Shipping costs]],Table1[[#This Row],[Costs]])</f>
        <v>4856.9531638718863</v>
      </c>
      <c r="Z17" s="1">
        <f>Table1[[#This Row],[Revenue generated]]-Table1[[#This Row],[total cost]]</f>
        <v>585.13362152578338</v>
      </c>
      <c r="AA17" s="4">
        <f>IFERROR(Table1[[#This Row],[Revenue generated]]-Table1[[#This Row],[total cost]]/Table1[[#This Row],[Revenue generated]], 0)</f>
        <v>5441.1943054804251</v>
      </c>
      <c r="AB17">
        <f>SUM(Table1[[#This Row],[Manufacturing lead time]],Table1[[#This Row],[Shipping times]],Table1[[#This Row],[ supplier_Lead times]])</f>
        <v>22</v>
      </c>
      <c r="AC17" s="2" t="str" cm="1">
        <f t="array" ref="AC17">_xlfn.IFS(Table1[[#This Row],[toal lead time]]&gt;50, "high risk",Table1[[#This Row],[toal lead time]]&gt;=30, "moderate", "true", "optimal")</f>
        <v>optimal</v>
      </c>
    </row>
    <row r="18" spans="1:29" x14ac:dyDescent="0.3">
      <c r="A18" t="s">
        <v>31</v>
      </c>
      <c r="B18" t="s">
        <v>68</v>
      </c>
      <c r="C18" s="1">
        <v>7.5471721097912701</v>
      </c>
      <c r="D18">
        <v>74</v>
      </c>
      <c r="E18">
        <v>280</v>
      </c>
      <c r="F18" s="1">
        <v>6453.7979681762799</v>
      </c>
      <c r="G18" t="s">
        <v>33</v>
      </c>
      <c r="H18">
        <v>2</v>
      </c>
      <c r="I18">
        <v>5</v>
      </c>
      <c r="J18">
        <v>78</v>
      </c>
      <c r="K18">
        <v>1</v>
      </c>
      <c r="L18" t="s">
        <v>25</v>
      </c>
      <c r="M18" s="1">
        <v>4.1913245857054999</v>
      </c>
      <c r="N18" t="s">
        <v>37</v>
      </c>
      <c r="O18" t="s">
        <v>51</v>
      </c>
      <c r="P18">
        <v>3</v>
      </c>
      <c r="Q18">
        <v>399</v>
      </c>
      <c r="R18">
        <v>21</v>
      </c>
      <c r="S18" s="1">
        <v>77.106342497849994</v>
      </c>
      <c r="T18" t="s">
        <v>62</v>
      </c>
      <c r="U18">
        <v>1.01256308925804</v>
      </c>
      <c r="V18" t="s">
        <v>38</v>
      </c>
      <c r="W18" t="s">
        <v>46</v>
      </c>
      <c r="X18">
        <v>865.52577977123997</v>
      </c>
      <c r="Y18" s="3">
        <f>SUM(Table1[Manufacturing costs],Table1[[#This Row],[Shipping costs]],Table1[[#This Row],[Costs]])</f>
        <v>5596.3864285039326</v>
      </c>
      <c r="Z18" s="1">
        <f>Table1[[#This Row],[Revenue generated]]-Table1[[#This Row],[total cost]]</f>
        <v>857.41153967234732</v>
      </c>
      <c r="AA18" s="4">
        <f>IFERROR(Table1[[#This Row],[Revenue generated]]-Table1[[#This Row],[total cost]]/Table1[[#This Row],[Revenue generated]], 0)</f>
        <v>6452.930821969333</v>
      </c>
      <c r="AB18">
        <f>SUM(Table1[[#This Row],[Manufacturing lead time]],Table1[[#This Row],[Shipping times]],Table1[[#This Row],[ supplier_Lead times]])</f>
        <v>27</v>
      </c>
      <c r="AC18" s="2" t="str" cm="1">
        <f t="array" ref="AC18">_xlfn.IFS(Table1[[#This Row],[toal lead time]]&gt;50, "high risk",Table1[[#This Row],[toal lead time]]&gt;=30, "moderate", "true", "optimal")</f>
        <v>optimal</v>
      </c>
    </row>
    <row r="19" spans="1:29" x14ac:dyDescent="0.3">
      <c r="A19" t="s">
        <v>55</v>
      </c>
      <c r="B19" t="s">
        <v>69</v>
      </c>
      <c r="C19" s="1">
        <v>81.462534369237005</v>
      </c>
      <c r="D19">
        <v>82</v>
      </c>
      <c r="E19">
        <v>126</v>
      </c>
      <c r="F19" s="1">
        <v>2629.39643484526</v>
      </c>
      <c r="G19" t="s">
        <v>33</v>
      </c>
      <c r="H19">
        <v>45</v>
      </c>
      <c r="I19">
        <v>17</v>
      </c>
      <c r="J19">
        <v>85</v>
      </c>
      <c r="K19">
        <v>9</v>
      </c>
      <c r="L19" t="s">
        <v>41</v>
      </c>
      <c r="M19" s="1">
        <v>3.5854189582323399</v>
      </c>
      <c r="N19" t="s">
        <v>37</v>
      </c>
      <c r="O19" t="s">
        <v>60</v>
      </c>
      <c r="P19">
        <v>7</v>
      </c>
      <c r="Q19">
        <v>453</v>
      </c>
      <c r="R19">
        <v>16</v>
      </c>
      <c r="S19" s="1">
        <v>47.679680368355299</v>
      </c>
      <c r="T19" t="s">
        <v>44</v>
      </c>
      <c r="U19">
        <v>0.102020754918176</v>
      </c>
      <c r="V19" t="s">
        <v>38</v>
      </c>
      <c r="W19" t="s">
        <v>39</v>
      </c>
      <c r="X19">
        <v>670.93439079241</v>
      </c>
      <c r="Y19" s="3">
        <f>SUM(Table1[Manufacturing costs],Table1[[#This Row],[Shipping costs]],Table1[[#This Row],[Costs]])</f>
        <v>5401.1891338976293</v>
      </c>
      <c r="Z19" s="1">
        <f>Table1[[#This Row],[Revenue generated]]-Table1[[#This Row],[total cost]]</f>
        <v>-2771.7926990523692</v>
      </c>
      <c r="AA19" s="4">
        <f>IFERROR(Table1[[#This Row],[Revenue generated]]-Table1[[#This Row],[total cost]]/Table1[[#This Row],[Revenue generated]], 0)</f>
        <v>2627.3422793507443</v>
      </c>
      <c r="AB19">
        <f>SUM(Table1[[#This Row],[Manufacturing lead time]],Table1[[#This Row],[Shipping times]],Table1[[#This Row],[ supplier_Lead times]])</f>
        <v>42</v>
      </c>
      <c r="AC19" s="2" t="str" cm="1">
        <f t="array" ref="AC19">_xlfn.IFS(Table1[[#This Row],[toal lead time]]&gt;50, "high risk",Table1[[#This Row],[toal lead time]]&gt;=30, "moderate", "true", "optimal")</f>
        <v>moderate</v>
      </c>
    </row>
    <row r="20" spans="1:29" x14ac:dyDescent="0.3">
      <c r="A20" t="s">
        <v>22</v>
      </c>
      <c r="B20" t="s">
        <v>70</v>
      </c>
      <c r="C20" s="1">
        <v>36.4436277704609</v>
      </c>
      <c r="D20">
        <v>23</v>
      </c>
      <c r="E20">
        <v>620</v>
      </c>
      <c r="F20" s="1">
        <v>9364.6735050761708</v>
      </c>
      <c r="G20" t="s">
        <v>36</v>
      </c>
      <c r="H20">
        <v>10</v>
      </c>
      <c r="I20">
        <v>10</v>
      </c>
      <c r="J20">
        <v>46</v>
      </c>
      <c r="K20">
        <v>8</v>
      </c>
      <c r="L20" t="s">
        <v>41</v>
      </c>
      <c r="M20" s="1">
        <v>4.3392247141107001</v>
      </c>
      <c r="N20" t="s">
        <v>59</v>
      </c>
      <c r="O20" t="s">
        <v>43</v>
      </c>
      <c r="P20">
        <v>18</v>
      </c>
      <c r="Q20">
        <v>374</v>
      </c>
      <c r="R20">
        <v>17</v>
      </c>
      <c r="S20" s="1">
        <v>27.107980854843898</v>
      </c>
      <c r="T20" t="s">
        <v>28</v>
      </c>
      <c r="U20">
        <v>2.2319391107292601</v>
      </c>
      <c r="V20" t="s">
        <v>54</v>
      </c>
      <c r="W20" t="s">
        <v>46</v>
      </c>
      <c r="X20">
        <v>593.48025872065102</v>
      </c>
      <c r="Y20" s="3">
        <f>SUM(Table1[Manufacturing costs],Table1[[#This Row],[Shipping costs]],Table1[[#This Row],[Costs]])</f>
        <v>5324.4888075817489</v>
      </c>
      <c r="Z20" s="1">
        <f>Table1[[#This Row],[Revenue generated]]-Table1[[#This Row],[total cost]]</f>
        <v>4040.1846974944219</v>
      </c>
      <c r="AA20" s="4">
        <f>IFERROR(Table1[[#This Row],[Revenue generated]]-Table1[[#This Row],[total cost]]/Table1[[#This Row],[Revenue generated]], 0)</f>
        <v>9364.1049333256778</v>
      </c>
      <c r="AB20">
        <f>SUM(Table1[[#This Row],[Manufacturing lead time]],Table1[[#This Row],[Shipping times]],Table1[[#This Row],[ supplier_Lead times]])</f>
        <v>35</v>
      </c>
      <c r="AC20" s="2" t="str" cm="1">
        <f t="array" ref="AC20">_xlfn.IFS(Table1[[#This Row],[toal lead time]]&gt;50, "high risk",Table1[[#This Row],[toal lead time]]&gt;=30, "moderate", "true", "optimal")</f>
        <v>moderate</v>
      </c>
    </row>
    <row r="21" spans="1:29" x14ac:dyDescent="0.3">
      <c r="A21" t="s">
        <v>31</v>
      </c>
      <c r="B21" t="s">
        <v>71</v>
      </c>
      <c r="C21" s="1">
        <v>51.123870087964697</v>
      </c>
      <c r="D21">
        <v>100</v>
      </c>
      <c r="E21">
        <v>187</v>
      </c>
      <c r="F21" s="1">
        <v>2553.4955849912099</v>
      </c>
      <c r="G21" t="s">
        <v>36</v>
      </c>
      <c r="H21">
        <v>48</v>
      </c>
      <c r="I21">
        <v>11</v>
      </c>
      <c r="J21">
        <v>94</v>
      </c>
      <c r="K21">
        <v>3</v>
      </c>
      <c r="L21" t="s">
        <v>34</v>
      </c>
      <c r="M21" s="1">
        <v>4.7426358828418698</v>
      </c>
      <c r="N21" t="s">
        <v>50</v>
      </c>
      <c r="O21" t="s">
        <v>60</v>
      </c>
      <c r="P21">
        <v>20</v>
      </c>
      <c r="Q21">
        <v>694</v>
      </c>
      <c r="R21">
        <v>16</v>
      </c>
      <c r="S21" s="1">
        <v>82.373320587990193</v>
      </c>
      <c r="T21" t="s">
        <v>44</v>
      </c>
      <c r="U21">
        <v>3.64645086541702</v>
      </c>
      <c r="V21" t="s">
        <v>29</v>
      </c>
      <c r="W21" t="s">
        <v>39</v>
      </c>
      <c r="X21">
        <v>477.30763109090299</v>
      </c>
      <c r="Y21" s="3">
        <f>SUM(Table1[Manufacturing costs],Table1[[#This Row],[Shipping costs]],Table1[[#This Row],[Costs]])</f>
        <v>5208.7195911207309</v>
      </c>
      <c r="Z21" s="1">
        <f>Table1[[#This Row],[Revenue generated]]-Table1[[#This Row],[total cost]]</f>
        <v>-2655.2240061295211</v>
      </c>
      <c r="AA21" s="4">
        <f>IFERROR(Table1[[#This Row],[Revenue generated]]-Table1[[#This Row],[total cost]]/Table1[[#This Row],[Revenue generated]], 0)</f>
        <v>2551.4557461045729</v>
      </c>
      <c r="AB21">
        <f>SUM(Table1[[#This Row],[Manufacturing lead time]],Table1[[#This Row],[Shipping times]],Table1[[#This Row],[ supplier_Lead times]])</f>
        <v>30</v>
      </c>
      <c r="AC21" s="2" t="str" cm="1">
        <f t="array" ref="AC21">_xlfn.IFS(Table1[[#This Row],[toal lead time]]&gt;50, "high risk",Table1[[#This Row],[toal lead time]]&gt;=30, "moderate", "true", "optimal")</f>
        <v>moderate</v>
      </c>
    </row>
    <row r="22" spans="1:29" x14ac:dyDescent="0.3">
      <c r="A22" t="s">
        <v>31</v>
      </c>
      <c r="B22" t="s">
        <v>72</v>
      </c>
      <c r="C22" s="1">
        <v>96.341072439963298</v>
      </c>
      <c r="D22">
        <v>22</v>
      </c>
      <c r="E22">
        <v>320</v>
      </c>
      <c r="F22" s="1">
        <v>8128.0276968511898</v>
      </c>
      <c r="G22" t="s">
        <v>36</v>
      </c>
      <c r="H22">
        <v>27</v>
      </c>
      <c r="I22">
        <v>12</v>
      </c>
      <c r="J22">
        <v>68</v>
      </c>
      <c r="K22">
        <v>6</v>
      </c>
      <c r="L22" t="s">
        <v>34</v>
      </c>
      <c r="M22" s="1">
        <v>8.8783346509268402</v>
      </c>
      <c r="N22" t="s">
        <v>37</v>
      </c>
      <c r="O22" t="s">
        <v>60</v>
      </c>
      <c r="P22">
        <v>29</v>
      </c>
      <c r="Q22">
        <v>309</v>
      </c>
      <c r="R22">
        <v>6</v>
      </c>
      <c r="S22" s="1">
        <v>65.686259608488598</v>
      </c>
      <c r="T22" t="s">
        <v>62</v>
      </c>
      <c r="U22">
        <v>4.2314165735345304</v>
      </c>
      <c r="V22" t="s">
        <v>38</v>
      </c>
      <c r="W22" t="s">
        <v>30</v>
      </c>
      <c r="X22">
        <v>493.871215316205</v>
      </c>
      <c r="Y22" s="3">
        <f>SUM(Table1[Manufacturing costs],Table1[[#This Row],[Shipping costs]],Table1[[#This Row],[Costs]])</f>
        <v>5229.4188741141188</v>
      </c>
      <c r="Z22" s="1">
        <f>Table1[[#This Row],[Revenue generated]]-Table1[[#This Row],[total cost]]</f>
        <v>2898.608822737071</v>
      </c>
      <c r="AA22" s="4">
        <f>IFERROR(Table1[[#This Row],[Revenue generated]]-Table1[[#This Row],[total cost]]/Table1[[#This Row],[Revenue generated]], 0)</f>
        <v>8127.3843158159434</v>
      </c>
      <c r="AB22">
        <f>SUM(Table1[[#This Row],[Manufacturing lead time]],Table1[[#This Row],[Shipping times]],Table1[[#This Row],[ supplier_Lead times]])</f>
        <v>24</v>
      </c>
      <c r="AC22" s="2" t="str" cm="1">
        <f t="array" ref="AC22">_xlfn.IFS(Table1[[#This Row],[toal lead time]]&gt;50, "high risk",Table1[[#This Row],[toal lead time]]&gt;=30, "moderate", "true", "optimal")</f>
        <v>optimal</v>
      </c>
    </row>
    <row r="23" spans="1:29" x14ac:dyDescent="0.3">
      <c r="A23" t="s">
        <v>55</v>
      </c>
      <c r="B23" t="s">
        <v>73</v>
      </c>
      <c r="C23" s="1">
        <v>84.893868984950799</v>
      </c>
      <c r="D23">
        <v>60</v>
      </c>
      <c r="E23">
        <v>601</v>
      </c>
      <c r="F23" s="1">
        <v>7087.0526963574302</v>
      </c>
      <c r="G23" t="s">
        <v>36</v>
      </c>
      <c r="H23">
        <v>69</v>
      </c>
      <c r="I23">
        <v>25</v>
      </c>
      <c r="J23">
        <v>7</v>
      </c>
      <c r="K23">
        <v>6</v>
      </c>
      <c r="L23" t="s">
        <v>25</v>
      </c>
      <c r="M23" s="1">
        <v>6.0378837692182898</v>
      </c>
      <c r="N23" t="s">
        <v>42</v>
      </c>
      <c r="O23" t="s">
        <v>60</v>
      </c>
      <c r="P23">
        <v>19</v>
      </c>
      <c r="Q23">
        <v>791</v>
      </c>
      <c r="R23">
        <v>4</v>
      </c>
      <c r="S23" s="1">
        <v>61.735728954160898</v>
      </c>
      <c r="T23" t="s">
        <v>28</v>
      </c>
      <c r="U23">
        <v>1.8607567631014899E-2</v>
      </c>
      <c r="V23" t="s">
        <v>38</v>
      </c>
      <c r="W23" t="s">
        <v>39</v>
      </c>
      <c r="X23">
        <v>523.36091472015801</v>
      </c>
      <c r="Y23" s="3">
        <f>SUM(Table1[Manufacturing costs],Table1[[#This Row],[Shipping costs]],Table1[[#This Row],[Costs]])</f>
        <v>5256.0681226363622</v>
      </c>
      <c r="Z23" s="1">
        <f>Table1[[#This Row],[Revenue generated]]-Table1[[#This Row],[total cost]]</f>
        <v>1830.984573721068</v>
      </c>
      <c r="AA23" s="4">
        <f>IFERROR(Table1[[#This Row],[Revenue generated]]-Table1[[#This Row],[total cost]]/Table1[[#This Row],[Revenue generated]], 0)</f>
        <v>7086.3110526378432</v>
      </c>
      <c r="AB23">
        <f>SUM(Table1[[#This Row],[Manufacturing lead time]],Table1[[#This Row],[Shipping times]],Table1[[#This Row],[ supplier_Lead times]])</f>
        <v>35</v>
      </c>
      <c r="AC23" s="2" t="str" cm="1">
        <f t="array" ref="AC23">_xlfn.IFS(Table1[[#This Row],[toal lead time]]&gt;50, "high risk",Table1[[#This Row],[toal lead time]]&gt;=30, "moderate", "true", "optimal")</f>
        <v>moderate</v>
      </c>
    </row>
    <row r="24" spans="1:29" x14ac:dyDescent="0.3">
      <c r="A24" t="s">
        <v>22</v>
      </c>
      <c r="B24" t="s">
        <v>74</v>
      </c>
      <c r="C24" s="1">
        <v>27.679780886501899</v>
      </c>
      <c r="D24">
        <v>55</v>
      </c>
      <c r="E24">
        <v>884</v>
      </c>
      <c r="F24" s="1">
        <v>2390.8078665561702</v>
      </c>
      <c r="G24" t="s">
        <v>36</v>
      </c>
      <c r="H24">
        <v>71</v>
      </c>
      <c r="I24">
        <v>1</v>
      </c>
      <c r="J24">
        <v>63</v>
      </c>
      <c r="K24">
        <v>10</v>
      </c>
      <c r="L24" t="s">
        <v>34</v>
      </c>
      <c r="M24" s="1">
        <v>9.5676489209230393</v>
      </c>
      <c r="N24" t="s">
        <v>50</v>
      </c>
      <c r="O24" t="s">
        <v>43</v>
      </c>
      <c r="P24">
        <v>22</v>
      </c>
      <c r="Q24">
        <v>780</v>
      </c>
      <c r="R24">
        <v>28</v>
      </c>
      <c r="S24" s="1">
        <v>50.120839612977299</v>
      </c>
      <c r="T24" t="s">
        <v>44</v>
      </c>
      <c r="U24">
        <v>2.5912754732111098</v>
      </c>
      <c r="V24" t="s">
        <v>45</v>
      </c>
      <c r="W24" t="s">
        <v>39</v>
      </c>
      <c r="X24">
        <v>205.57199582694699</v>
      </c>
      <c r="Y24" s="3">
        <f>SUM(Table1[Manufacturing costs],Table1[[#This Row],[Shipping costs]],Table1[[#This Row],[Costs]])</f>
        <v>4941.8089688948567</v>
      </c>
      <c r="Z24" s="1">
        <f>Table1[[#This Row],[Revenue generated]]-Table1[[#This Row],[total cost]]</f>
        <v>-2551.0011023386865</v>
      </c>
      <c r="AA24" s="4">
        <f>IFERROR(Table1[[#This Row],[Revenue generated]]-Table1[[#This Row],[total cost]]/Table1[[#This Row],[Revenue generated]], 0)</f>
        <v>2388.7408627462769</v>
      </c>
      <c r="AB24">
        <f>SUM(Table1[[#This Row],[Manufacturing lead time]],Table1[[#This Row],[Shipping times]],Table1[[#This Row],[ supplier_Lead times]])</f>
        <v>39</v>
      </c>
      <c r="AC24" s="2" t="str" cm="1">
        <f t="array" ref="AC24">_xlfn.IFS(Table1[[#This Row],[toal lead time]]&gt;50, "high risk",Table1[[#This Row],[toal lead time]]&gt;=30, "moderate", "true", "optimal")</f>
        <v>moderate</v>
      </c>
    </row>
    <row r="25" spans="1:29" x14ac:dyDescent="0.3">
      <c r="A25" t="s">
        <v>55</v>
      </c>
      <c r="B25" t="s">
        <v>75</v>
      </c>
      <c r="C25" s="1">
        <v>4.3243411858641601</v>
      </c>
      <c r="D25">
        <v>30</v>
      </c>
      <c r="E25">
        <v>391</v>
      </c>
      <c r="F25" s="1">
        <v>8858.3675710114803</v>
      </c>
      <c r="G25" t="s">
        <v>36</v>
      </c>
      <c r="H25">
        <v>84</v>
      </c>
      <c r="I25">
        <v>5</v>
      </c>
      <c r="J25">
        <v>29</v>
      </c>
      <c r="K25">
        <v>7</v>
      </c>
      <c r="L25" t="s">
        <v>34</v>
      </c>
      <c r="M25" s="1">
        <v>2.92485760114555</v>
      </c>
      <c r="N25" t="s">
        <v>42</v>
      </c>
      <c r="O25" t="s">
        <v>43</v>
      </c>
      <c r="P25">
        <v>11</v>
      </c>
      <c r="Q25">
        <v>568</v>
      </c>
      <c r="R25">
        <v>29</v>
      </c>
      <c r="S25" s="1">
        <v>98.6099572427038</v>
      </c>
      <c r="T25" t="s">
        <v>28</v>
      </c>
      <c r="U25">
        <v>1.3422915627227301</v>
      </c>
      <c r="V25" t="s">
        <v>45</v>
      </c>
      <c r="W25" t="s">
        <v>46</v>
      </c>
      <c r="X25">
        <v>196.329446112412</v>
      </c>
      <c r="Y25" s="3">
        <f>SUM(Table1[Manufacturing costs],Table1[[#This Row],[Shipping costs]],Table1[[#This Row],[Costs]])</f>
        <v>4925.9236278605449</v>
      </c>
      <c r="Z25" s="1">
        <f>Table1[[#This Row],[Revenue generated]]-Table1[[#This Row],[total cost]]</f>
        <v>3932.4439431509354</v>
      </c>
      <c r="AA25" s="4">
        <f>IFERROR(Table1[[#This Row],[Revenue generated]]-Table1[[#This Row],[total cost]]/Table1[[#This Row],[Revenue generated]], 0)</f>
        <v>8857.8114952347223</v>
      </c>
      <c r="AB25">
        <f>SUM(Table1[[#This Row],[Manufacturing lead time]],Table1[[#This Row],[Shipping times]],Table1[[#This Row],[ supplier_Lead times]])</f>
        <v>41</v>
      </c>
      <c r="AC25" s="2" t="str" cm="1">
        <f t="array" ref="AC25">_xlfn.IFS(Table1[[#This Row],[toal lead time]]&gt;50, "high risk",Table1[[#This Row],[toal lead time]]&gt;=30, "moderate", "true", "optimal")</f>
        <v>moderate</v>
      </c>
    </row>
    <row r="26" spans="1:29" x14ac:dyDescent="0.3">
      <c r="A26" t="s">
        <v>22</v>
      </c>
      <c r="B26" t="s">
        <v>76</v>
      </c>
      <c r="C26" s="1">
        <v>4.1563083593111001</v>
      </c>
      <c r="D26">
        <v>32</v>
      </c>
      <c r="E26">
        <v>209</v>
      </c>
      <c r="F26" s="1">
        <v>9049.0778609398894</v>
      </c>
      <c r="G26" t="s">
        <v>53</v>
      </c>
      <c r="H26">
        <v>4</v>
      </c>
      <c r="I26">
        <v>26</v>
      </c>
      <c r="J26">
        <v>2</v>
      </c>
      <c r="K26">
        <v>8</v>
      </c>
      <c r="L26" t="s">
        <v>41</v>
      </c>
      <c r="M26" s="1">
        <v>9.7412916892843597</v>
      </c>
      <c r="N26" t="s">
        <v>59</v>
      </c>
      <c r="O26" t="s">
        <v>51</v>
      </c>
      <c r="P26">
        <v>28</v>
      </c>
      <c r="Q26">
        <v>447</v>
      </c>
      <c r="R26">
        <v>3</v>
      </c>
      <c r="S26" s="1">
        <v>40.382359702924802</v>
      </c>
      <c r="T26" t="s">
        <v>28</v>
      </c>
      <c r="U26">
        <v>3.69131029262872</v>
      </c>
      <c r="V26" t="s">
        <v>38</v>
      </c>
      <c r="W26" t="s">
        <v>46</v>
      </c>
      <c r="X26">
        <v>758.72477260293795</v>
      </c>
      <c r="Y26" s="3">
        <f>SUM(Table1[Manufacturing costs],Table1[[#This Row],[Shipping costs]],Table1[[#This Row],[Costs]])</f>
        <v>5495.1353884392092</v>
      </c>
      <c r="Z26" s="1">
        <f>Table1[[#This Row],[Revenue generated]]-Table1[[#This Row],[total cost]]</f>
        <v>3553.9424725006802</v>
      </c>
      <c r="AA26" s="4">
        <f>IFERROR(Table1[[#This Row],[Revenue generated]]-Table1[[#This Row],[total cost]]/Table1[[#This Row],[Revenue generated]], 0)</f>
        <v>9048.4706017834451</v>
      </c>
      <c r="AB26">
        <f>SUM(Table1[[#This Row],[Manufacturing lead time]],Table1[[#This Row],[Shipping times]],Table1[[#This Row],[ supplier_Lead times]])</f>
        <v>37</v>
      </c>
      <c r="AC26" s="2" t="str" cm="1">
        <f t="array" ref="AC26">_xlfn.IFS(Table1[[#This Row],[toal lead time]]&gt;50, "high risk",Table1[[#This Row],[toal lead time]]&gt;=30, "moderate", "true", "optimal")</f>
        <v>moderate</v>
      </c>
    </row>
    <row r="27" spans="1:29" x14ac:dyDescent="0.3">
      <c r="A27" t="s">
        <v>22</v>
      </c>
      <c r="B27" t="s">
        <v>77</v>
      </c>
      <c r="C27" s="1">
        <v>39.629343985092603</v>
      </c>
      <c r="D27">
        <v>73</v>
      </c>
      <c r="E27">
        <v>142</v>
      </c>
      <c r="F27" s="1">
        <v>2174.7770543506499</v>
      </c>
      <c r="G27" t="s">
        <v>53</v>
      </c>
      <c r="H27">
        <v>82</v>
      </c>
      <c r="I27">
        <v>11</v>
      </c>
      <c r="J27">
        <v>52</v>
      </c>
      <c r="K27">
        <v>3</v>
      </c>
      <c r="L27" t="s">
        <v>41</v>
      </c>
      <c r="M27" s="1">
        <v>2.2310736812817198</v>
      </c>
      <c r="N27" t="s">
        <v>50</v>
      </c>
      <c r="O27" t="s">
        <v>43</v>
      </c>
      <c r="P27">
        <v>19</v>
      </c>
      <c r="Q27">
        <v>934</v>
      </c>
      <c r="R27">
        <v>23</v>
      </c>
      <c r="S27" s="1">
        <v>78.280383118415301</v>
      </c>
      <c r="T27" t="s">
        <v>28</v>
      </c>
      <c r="U27">
        <v>3.79723121711418</v>
      </c>
      <c r="V27" t="s">
        <v>29</v>
      </c>
      <c r="W27" t="s">
        <v>30</v>
      </c>
      <c r="X27">
        <v>458.53594573920901</v>
      </c>
      <c r="Y27" s="3">
        <f>SUM(Table1[Manufacturing costs],Table1[[#This Row],[Shipping costs]],Table1[[#This Row],[Costs]])</f>
        <v>5187.4363435674768</v>
      </c>
      <c r="Z27" s="1">
        <f>Table1[[#This Row],[Revenue generated]]-Table1[[#This Row],[total cost]]</f>
        <v>-3012.6592892168269</v>
      </c>
      <c r="AA27" s="4">
        <f>IFERROR(Table1[[#This Row],[Revenue generated]]-Table1[[#This Row],[total cost]]/Table1[[#This Row],[Revenue generated]], 0)</f>
        <v>2172.3917816473217</v>
      </c>
      <c r="AB27">
        <f>SUM(Table1[[#This Row],[Manufacturing lead time]],Table1[[#This Row],[Shipping times]],Table1[[#This Row],[ supplier_Lead times]])</f>
        <v>37</v>
      </c>
      <c r="AC27" s="2" t="str" cm="1">
        <f t="array" ref="AC27">_xlfn.IFS(Table1[[#This Row],[toal lead time]]&gt;50, "high risk",Table1[[#This Row],[toal lead time]]&gt;=30, "moderate", "true", "optimal")</f>
        <v>moderate</v>
      </c>
    </row>
    <row r="28" spans="1:29" x14ac:dyDescent="0.3">
      <c r="A28" t="s">
        <v>22</v>
      </c>
      <c r="B28" t="s">
        <v>78</v>
      </c>
      <c r="C28" s="1">
        <v>97.446946617892806</v>
      </c>
      <c r="D28">
        <v>9</v>
      </c>
      <c r="E28">
        <v>353</v>
      </c>
      <c r="F28" s="1">
        <v>3716.49332589403</v>
      </c>
      <c r="G28" t="s">
        <v>53</v>
      </c>
      <c r="H28">
        <v>59</v>
      </c>
      <c r="I28">
        <v>16</v>
      </c>
      <c r="J28">
        <v>48</v>
      </c>
      <c r="K28">
        <v>4</v>
      </c>
      <c r="L28" t="s">
        <v>25</v>
      </c>
      <c r="M28" s="1">
        <v>6.5075486210785503</v>
      </c>
      <c r="N28" t="s">
        <v>59</v>
      </c>
      <c r="O28" t="s">
        <v>51</v>
      </c>
      <c r="P28">
        <v>26</v>
      </c>
      <c r="Q28">
        <v>171</v>
      </c>
      <c r="R28">
        <v>4</v>
      </c>
      <c r="S28" s="1">
        <v>15.972229757181699</v>
      </c>
      <c r="T28" t="s">
        <v>62</v>
      </c>
      <c r="U28">
        <v>2.1193197367249201</v>
      </c>
      <c r="V28" t="s">
        <v>45</v>
      </c>
      <c r="W28" t="s">
        <v>46</v>
      </c>
      <c r="X28">
        <v>617.86691645837698</v>
      </c>
      <c r="Y28" s="3">
        <f>SUM(Table1[Manufacturing costs],Table1[[#This Row],[Shipping costs]],Table1[[#This Row],[Costs]])</f>
        <v>5351.0437892264426</v>
      </c>
      <c r="Z28" s="1">
        <f>Table1[[#This Row],[Revenue generated]]-Table1[[#This Row],[total cost]]</f>
        <v>-1634.5504633324126</v>
      </c>
      <c r="AA28" s="4">
        <f>IFERROR(Table1[[#This Row],[Revenue generated]]-Table1[[#This Row],[total cost]]/Table1[[#This Row],[Revenue generated]], 0)</f>
        <v>3715.0535160195054</v>
      </c>
      <c r="AB28">
        <f>SUM(Table1[[#This Row],[Manufacturing lead time]],Table1[[#This Row],[Shipping times]],Table1[[#This Row],[ supplier_Lead times]])</f>
        <v>24</v>
      </c>
      <c r="AC28" s="2" t="str" cm="1">
        <f t="array" ref="AC28">_xlfn.IFS(Table1[[#This Row],[toal lead time]]&gt;50, "high risk",Table1[[#This Row],[toal lead time]]&gt;=30, "moderate", "true", "optimal")</f>
        <v>optimal</v>
      </c>
    </row>
    <row r="29" spans="1:29" x14ac:dyDescent="0.3">
      <c r="A29" t="s">
        <v>55</v>
      </c>
      <c r="B29" t="s">
        <v>79</v>
      </c>
      <c r="C29" s="1">
        <v>92.557360812401996</v>
      </c>
      <c r="D29">
        <v>42</v>
      </c>
      <c r="E29">
        <v>352</v>
      </c>
      <c r="F29" s="1">
        <v>2686.4572235759802</v>
      </c>
      <c r="G29" t="s">
        <v>36</v>
      </c>
      <c r="H29">
        <v>47</v>
      </c>
      <c r="I29">
        <v>9</v>
      </c>
      <c r="J29">
        <v>62</v>
      </c>
      <c r="K29">
        <v>8</v>
      </c>
      <c r="L29" t="s">
        <v>41</v>
      </c>
      <c r="M29" s="1">
        <v>7.4067509529980704</v>
      </c>
      <c r="N29" t="s">
        <v>42</v>
      </c>
      <c r="O29" t="s">
        <v>27</v>
      </c>
      <c r="P29">
        <v>25</v>
      </c>
      <c r="Q29">
        <v>291</v>
      </c>
      <c r="R29">
        <v>4</v>
      </c>
      <c r="S29" s="1">
        <v>10.5282450700421</v>
      </c>
      <c r="T29" t="s">
        <v>44</v>
      </c>
      <c r="U29">
        <v>2.8646678378833701</v>
      </c>
      <c r="V29" t="s">
        <v>54</v>
      </c>
      <c r="W29" t="s">
        <v>30</v>
      </c>
      <c r="X29">
        <v>762.45918215568304</v>
      </c>
      <c r="Y29" s="3">
        <f>SUM(Table1[Manufacturing costs],Table1[[#This Row],[Shipping costs]],Table1[[#This Row],[Costs]])</f>
        <v>5496.5352572556676</v>
      </c>
      <c r="Z29" s="1">
        <f>Table1[[#This Row],[Revenue generated]]-Table1[[#This Row],[total cost]]</f>
        <v>-2810.0780336796875</v>
      </c>
      <c r="AA29" s="4">
        <f>IFERROR(Table1[[#This Row],[Revenue generated]]-Table1[[#This Row],[total cost]]/Table1[[#This Row],[Revenue generated]], 0)</f>
        <v>2684.4112072802363</v>
      </c>
      <c r="AB29">
        <f>SUM(Table1[[#This Row],[Manufacturing lead time]],Table1[[#This Row],[Shipping times]],Table1[[#This Row],[ supplier_Lead times]])</f>
        <v>21</v>
      </c>
      <c r="AC29" s="2" t="str" cm="1">
        <f t="array" ref="AC29">_xlfn.IFS(Table1[[#This Row],[toal lead time]]&gt;50, "high risk",Table1[[#This Row],[toal lead time]]&gt;=30, "moderate", "true", "optimal")</f>
        <v>optimal</v>
      </c>
    </row>
    <row r="30" spans="1:29" x14ac:dyDescent="0.3">
      <c r="A30" t="s">
        <v>55</v>
      </c>
      <c r="B30" t="s">
        <v>80</v>
      </c>
      <c r="C30" s="1">
        <v>2.3972747055971402</v>
      </c>
      <c r="D30">
        <v>12</v>
      </c>
      <c r="E30">
        <v>394</v>
      </c>
      <c r="F30" s="1">
        <v>6117.3246150839896</v>
      </c>
      <c r="G30" t="s">
        <v>33</v>
      </c>
      <c r="H30">
        <v>48</v>
      </c>
      <c r="I30">
        <v>15</v>
      </c>
      <c r="J30">
        <v>24</v>
      </c>
      <c r="K30">
        <v>4</v>
      </c>
      <c r="L30" t="s">
        <v>25</v>
      </c>
      <c r="M30" s="1">
        <v>9.8981405080692202</v>
      </c>
      <c r="N30" t="s">
        <v>37</v>
      </c>
      <c r="O30" t="s">
        <v>27</v>
      </c>
      <c r="P30">
        <v>13</v>
      </c>
      <c r="Q30">
        <v>171</v>
      </c>
      <c r="R30">
        <v>7</v>
      </c>
      <c r="S30" s="1">
        <v>59.429381810691503</v>
      </c>
      <c r="T30" t="s">
        <v>44</v>
      </c>
      <c r="U30">
        <v>0.81575707929567198</v>
      </c>
      <c r="V30" t="s">
        <v>38</v>
      </c>
      <c r="W30" t="s">
        <v>46</v>
      </c>
      <c r="X30">
        <v>123.437027511827</v>
      </c>
      <c r="Y30" s="3">
        <f>SUM(Table1[Manufacturing costs],Table1[[#This Row],[Shipping costs]],Table1[[#This Row],[Costs]])</f>
        <v>4860.0044921668832</v>
      </c>
      <c r="Z30" s="1">
        <f>Table1[[#This Row],[Revenue generated]]-Table1[[#This Row],[total cost]]</f>
        <v>1257.3201229171063</v>
      </c>
      <c r="AA30" s="4">
        <f>IFERROR(Table1[[#This Row],[Revenue generated]]-Table1[[#This Row],[total cost]]/Table1[[#This Row],[Revenue generated]], 0)</f>
        <v>6116.5301493987481</v>
      </c>
      <c r="AB30">
        <f>SUM(Table1[[#This Row],[Manufacturing lead time]],Table1[[#This Row],[Shipping times]],Table1[[#This Row],[ supplier_Lead times]])</f>
        <v>26</v>
      </c>
      <c r="AC30" s="2" t="str" cm="1">
        <f t="array" ref="AC30">_xlfn.IFS(Table1[[#This Row],[toal lead time]]&gt;50, "high risk",Table1[[#This Row],[toal lead time]]&gt;=30, "moderate", "true", "optimal")</f>
        <v>optimal</v>
      </c>
    </row>
    <row r="31" spans="1:29" x14ac:dyDescent="0.3">
      <c r="A31" t="s">
        <v>55</v>
      </c>
      <c r="B31" t="s">
        <v>81</v>
      </c>
      <c r="C31" s="1">
        <v>63.447559185207297</v>
      </c>
      <c r="D31">
        <v>3</v>
      </c>
      <c r="E31">
        <v>253</v>
      </c>
      <c r="F31" s="1">
        <v>8318.9031946171708</v>
      </c>
      <c r="G31" t="s">
        <v>33</v>
      </c>
      <c r="H31">
        <v>45</v>
      </c>
      <c r="I31">
        <v>5</v>
      </c>
      <c r="J31">
        <v>67</v>
      </c>
      <c r="K31">
        <v>7</v>
      </c>
      <c r="L31" t="s">
        <v>25</v>
      </c>
      <c r="M31" s="1">
        <v>8.1009731453970293</v>
      </c>
      <c r="N31" t="s">
        <v>37</v>
      </c>
      <c r="O31" t="s">
        <v>43</v>
      </c>
      <c r="P31">
        <v>16</v>
      </c>
      <c r="Q31">
        <v>329</v>
      </c>
      <c r="R31">
        <v>7</v>
      </c>
      <c r="S31" s="1">
        <v>39.292875586065698</v>
      </c>
      <c r="T31" t="s">
        <v>62</v>
      </c>
      <c r="U31">
        <v>3.8780989365884802</v>
      </c>
      <c r="V31" t="s">
        <v>29</v>
      </c>
      <c r="W31" t="s">
        <v>30</v>
      </c>
      <c r="X31">
        <v>764.93537594070801</v>
      </c>
      <c r="Y31" s="3">
        <f>SUM(Table1[Manufacturing costs],Table1[[#This Row],[Shipping costs]],Table1[[#This Row],[Costs]])</f>
        <v>5499.7056732330911</v>
      </c>
      <c r="Z31" s="1">
        <f>Table1[[#This Row],[Revenue generated]]-Table1[[#This Row],[total cost]]</f>
        <v>2819.1975213840797</v>
      </c>
      <c r="AA31" s="4">
        <f>IFERROR(Table1[[#This Row],[Revenue generated]]-Table1[[#This Row],[total cost]]/Table1[[#This Row],[Revenue generated]], 0)</f>
        <v>8318.242085148222</v>
      </c>
      <c r="AB31">
        <f>SUM(Table1[[#This Row],[Manufacturing lead time]],Table1[[#This Row],[Shipping times]],Table1[[#This Row],[ supplier_Lead times]])</f>
        <v>19</v>
      </c>
      <c r="AC31" s="2" t="str" cm="1">
        <f t="array" ref="AC31">_xlfn.IFS(Table1[[#This Row],[toal lead time]]&gt;50, "high risk",Table1[[#This Row],[toal lead time]]&gt;=30, "moderate", "true", "optimal")</f>
        <v>optimal</v>
      </c>
    </row>
    <row r="32" spans="1:29" x14ac:dyDescent="0.3">
      <c r="A32" t="s">
        <v>22</v>
      </c>
      <c r="B32" t="s">
        <v>82</v>
      </c>
      <c r="C32" s="1">
        <v>8.0228592105263896</v>
      </c>
      <c r="D32">
        <v>10</v>
      </c>
      <c r="E32">
        <v>327</v>
      </c>
      <c r="F32" s="1">
        <v>2766.3423668660798</v>
      </c>
      <c r="G32" t="s">
        <v>53</v>
      </c>
      <c r="H32">
        <v>60</v>
      </c>
      <c r="I32">
        <v>26</v>
      </c>
      <c r="J32">
        <v>35</v>
      </c>
      <c r="K32">
        <v>7</v>
      </c>
      <c r="L32" t="s">
        <v>25</v>
      </c>
      <c r="M32" s="1">
        <v>8.9545283153180097</v>
      </c>
      <c r="N32" t="s">
        <v>50</v>
      </c>
      <c r="O32" t="s">
        <v>43</v>
      </c>
      <c r="P32">
        <v>27</v>
      </c>
      <c r="Q32">
        <v>806</v>
      </c>
      <c r="R32">
        <v>30</v>
      </c>
      <c r="S32" s="1">
        <v>51.634893400109299</v>
      </c>
      <c r="T32" t="s">
        <v>28</v>
      </c>
      <c r="U32">
        <v>0.96539470535239302</v>
      </c>
      <c r="V32" t="s">
        <v>29</v>
      </c>
      <c r="W32" t="s">
        <v>39</v>
      </c>
      <c r="X32">
        <v>880.08098824716103</v>
      </c>
      <c r="Y32" s="3">
        <f>SUM(Table1[Manufacturing costs],Table1[[#This Row],[Shipping costs]],Table1[[#This Row],[Costs]])</f>
        <v>5615.7048407094662</v>
      </c>
      <c r="Z32" s="1">
        <f>Table1[[#This Row],[Revenue generated]]-Table1[[#This Row],[total cost]]</f>
        <v>-2849.3624738433864</v>
      </c>
      <c r="AA32" s="4">
        <f>IFERROR(Table1[[#This Row],[Revenue generated]]-Table1[[#This Row],[total cost]]/Table1[[#This Row],[Revenue generated]], 0)</f>
        <v>2764.3123560807294</v>
      </c>
      <c r="AB32">
        <f>SUM(Table1[[#This Row],[Manufacturing lead time]],Table1[[#This Row],[Shipping times]],Table1[[#This Row],[ supplier_Lead times]])</f>
        <v>63</v>
      </c>
      <c r="AC32" s="2" t="str" cm="1">
        <f t="array" ref="AC32">_xlfn.IFS(Table1[[#This Row],[toal lead time]]&gt;50, "high risk",Table1[[#This Row],[toal lead time]]&gt;=30, "moderate", "true", "optimal")</f>
        <v>high risk</v>
      </c>
    </row>
    <row r="33" spans="1:29" x14ac:dyDescent="0.3">
      <c r="A33" t="s">
        <v>31</v>
      </c>
      <c r="B33" t="s">
        <v>83</v>
      </c>
      <c r="C33" s="1">
        <v>50.847393051718697</v>
      </c>
      <c r="D33">
        <v>28</v>
      </c>
      <c r="E33">
        <v>168</v>
      </c>
      <c r="F33" s="1">
        <v>9655.1351027193905</v>
      </c>
      <c r="G33" t="s">
        <v>53</v>
      </c>
      <c r="H33">
        <v>6</v>
      </c>
      <c r="I33">
        <v>17</v>
      </c>
      <c r="J33">
        <v>44</v>
      </c>
      <c r="K33">
        <v>4</v>
      </c>
      <c r="L33" t="s">
        <v>25</v>
      </c>
      <c r="M33" s="1">
        <v>2.6796609649813998</v>
      </c>
      <c r="N33" t="s">
        <v>26</v>
      </c>
      <c r="O33" t="s">
        <v>60</v>
      </c>
      <c r="P33">
        <v>24</v>
      </c>
      <c r="Q33">
        <v>461</v>
      </c>
      <c r="R33">
        <v>8</v>
      </c>
      <c r="S33" s="1">
        <v>60.251145661598002</v>
      </c>
      <c r="T33" t="s">
        <v>28</v>
      </c>
      <c r="U33">
        <v>2.9890000066550702</v>
      </c>
      <c r="V33" t="s">
        <v>45</v>
      </c>
      <c r="W33" t="s">
        <v>39</v>
      </c>
      <c r="X33">
        <v>609.379206618426</v>
      </c>
      <c r="Y33" s="3">
        <f>SUM(Table1[Manufacturing costs],Table1[[#This Row],[Shipping costs]],Table1[[#This Row],[Costs]])</f>
        <v>5338.7281917303944</v>
      </c>
      <c r="Z33" s="1">
        <f>Table1[[#This Row],[Revenue generated]]-Table1[[#This Row],[total cost]]</f>
        <v>4316.4069109889961</v>
      </c>
      <c r="AA33" s="4">
        <f>IFERROR(Table1[[#This Row],[Revenue generated]]-Table1[[#This Row],[total cost]]/Table1[[#This Row],[Revenue generated]], 0)</f>
        <v>9654.5821608770511</v>
      </c>
      <c r="AB33">
        <f>SUM(Table1[[#This Row],[Manufacturing lead time]],Table1[[#This Row],[Shipping times]],Table1[[#This Row],[ supplier_Lead times]])</f>
        <v>29</v>
      </c>
      <c r="AC33" s="2" t="str" cm="1">
        <f t="array" ref="AC33">_xlfn.IFS(Table1[[#This Row],[toal lead time]]&gt;50, "high risk",Table1[[#This Row],[toal lead time]]&gt;=30, "moderate", "true", "optimal")</f>
        <v>optimal</v>
      </c>
    </row>
    <row r="34" spans="1:29" x14ac:dyDescent="0.3">
      <c r="A34" t="s">
        <v>31</v>
      </c>
      <c r="B34" t="s">
        <v>84</v>
      </c>
      <c r="C34" s="1">
        <v>79.209936015656695</v>
      </c>
      <c r="D34">
        <v>43</v>
      </c>
      <c r="E34">
        <v>781</v>
      </c>
      <c r="F34" s="1">
        <v>9571.5504873278096</v>
      </c>
      <c r="G34" t="s">
        <v>36</v>
      </c>
      <c r="H34">
        <v>89</v>
      </c>
      <c r="I34">
        <v>13</v>
      </c>
      <c r="J34">
        <v>64</v>
      </c>
      <c r="K34">
        <v>4</v>
      </c>
      <c r="L34" t="s">
        <v>41</v>
      </c>
      <c r="M34" s="1">
        <v>6.5991049012385803</v>
      </c>
      <c r="N34" t="s">
        <v>26</v>
      </c>
      <c r="O34" t="s">
        <v>43</v>
      </c>
      <c r="P34">
        <v>30</v>
      </c>
      <c r="Q34">
        <v>737</v>
      </c>
      <c r="R34">
        <v>7</v>
      </c>
      <c r="S34" s="1">
        <v>29.6924671537497</v>
      </c>
      <c r="T34" t="s">
        <v>62</v>
      </c>
      <c r="U34">
        <v>1.94603611938611</v>
      </c>
      <c r="V34" t="s">
        <v>29</v>
      </c>
      <c r="W34" t="s">
        <v>46</v>
      </c>
      <c r="X34">
        <v>761.17390951487698</v>
      </c>
      <c r="Y34" s="3">
        <f>SUM(Table1[Manufacturing costs],Table1[[#This Row],[Shipping costs]],Table1[[#This Row],[Costs]])</f>
        <v>5494.4423385631017</v>
      </c>
      <c r="Z34" s="1">
        <f>Table1[[#This Row],[Revenue generated]]-Table1[[#This Row],[total cost]]</f>
        <v>4077.1081487647079</v>
      </c>
      <c r="AA34" s="4">
        <f>IFERROR(Table1[[#This Row],[Revenue generated]]-Table1[[#This Row],[total cost]]/Table1[[#This Row],[Revenue generated]], 0)</f>
        <v>9570.9764484251427</v>
      </c>
      <c r="AB34">
        <f>SUM(Table1[[#This Row],[Manufacturing lead time]],Table1[[#This Row],[Shipping times]],Table1[[#This Row],[ supplier_Lead times]])</f>
        <v>24</v>
      </c>
      <c r="AC34" s="2" t="str" cm="1">
        <f t="array" ref="AC34">_xlfn.IFS(Table1[[#This Row],[toal lead time]]&gt;50, "high risk",Table1[[#This Row],[toal lead time]]&gt;=30, "moderate", "true", "optimal")</f>
        <v>optimal</v>
      </c>
    </row>
    <row r="35" spans="1:29" x14ac:dyDescent="0.3">
      <c r="A35" t="s">
        <v>55</v>
      </c>
      <c r="B35" t="s">
        <v>85</v>
      </c>
      <c r="C35" s="1">
        <v>64.795435000155607</v>
      </c>
      <c r="D35">
        <v>63</v>
      </c>
      <c r="E35">
        <v>616</v>
      </c>
      <c r="F35" s="1">
        <v>5149.9983504080301</v>
      </c>
      <c r="G35" t="s">
        <v>24</v>
      </c>
      <c r="H35">
        <v>4</v>
      </c>
      <c r="I35">
        <v>17</v>
      </c>
      <c r="J35">
        <v>95</v>
      </c>
      <c r="K35">
        <v>9</v>
      </c>
      <c r="L35" t="s">
        <v>41</v>
      </c>
      <c r="M35" s="1">
        <v>4.85827050343664</v>
      </c>
      <c r="N35" t="s">
        <v>42</v>
      </c>
      <c r="O35" t="s">
        <v>60</v>
      </c>
      <c r="P35">
        <v>1</v>
      </c>
      <c r="Q35">
        <v>251</v>
      </c>
      <c r="R35">
        <v>23</v>
      </c>
      <c r="S35" s="1">
        <v>23.853427512896101</v>
      </c>
      <c r="T35" t="s">
        <v>44</v>
      </c>
      <c r="U35">
        <v>3.54104601225092</v>
      </c>
      <c r="V35" t="s">
        <v>54</v>
      </c>
      <c r="W35" t="s">
        <v>46</v>
      </c>
      <c r="X35">
        <v>371.25529551987103</v>
      </c>
      <c r="Y35" s="3">
        <f>SUM(Table1[Manufacturing costs],Table1[[#This Row],[Shipping costs]],Table1[[#This Row],[Costs]])</f>
        <v>5102.7828901702942</v>
      </c>
      <c r="Z35" s="1">
        <f>Table1[[#This Row],[Revenue generated]]-Table1[[#This Row],[total cost]]</f>
        <v>47.215460237735897</v>
      </c>
      <c r="AA35" s="4">
        <f>IFERROR(Table1[[#This Row],[Revenue generated]]-Table1[[#This Row],[total cost]]/Table1[[#This Row],[Revenue generated]], 0)</f>
        <v>5149.007518461498</v>
      </c>
      <c r="AB35">
        <f>SUM(Table1[[#This Row],[Manufacturing lead time]],Table1[[#This Row],[Shipping times]],Table1[[#This Row],[ supplier_Lead times]])</f>
        <v>49</v>
      </c>
      <c r="AC35" s="2" t="str" cm="1">
        <f t="array" ref="AC35">_xlfn.IFS(Table1[[#This Row],[toal lead time]]&gt;50, "high risk",Table1[[#This Row],[toal lead time]]&gt;=30, "moderate", "true", "optimal")</f>
        <v>moderate</v>
      </c>
    </row>
    <row r="36" spans="1:29" x14ac:dyDescent="0.3">
      <c r="A36" t="s">
        <v>31</v>
      </c>
      <c r="B36" t="s">
        <v>86</v>
      </c>
      <c r="C36" s="1">
        <v>37.467592329842397</v>
      </c>
      <c r="D36">
        <v>96</v>
      </c>
      <c r="E36">
        <v>602</v>
      </c>
      <c r="F36" s="1">
        <v>9061.7108955077201</v>
      </c>
      <c r="G36" t="s">
        <v>36</v>
      </c>
      <c r="H36">
        <v>1</v>
      </c>
      <c r="I36">
        <v>26</v>
      </c>
      <c r="J36">
        <v>21</v>
      </c>
      <c r="K36">
        <v>7</v>
      </c>
      <c r="L36" t="s">
        <v>34</v>
      </c>
      <c r="M36" s="1">
        <v>1.0194875708221101</v>
      </c>
      <c r="N36" t="s">
        <v>37</v>
      </c>
      <c r="O36" t="s">
        <v>60</v>
      </c>
      <c r="P36">
        <v>4</v>
      </c>
      <c r="Q36">
        <v>452</v>
      </c>
      <c r="R36">
        <v>10</v>
      </c>
      <c r="S36" s="1">
        <v>10.754272815029299</v>
      </c>
      <c r="T36" t="s">
        <v>62</v>
      </c>
      <c r="U36">
        <v>0.64660455937205397</v>
      </c>
      <c r="V36" t="s">
        <v>29</v>
      </c>
      <c r="W36" t="s">
        <v>30</v>
      </c>
      <c r="X36">
        <v>510.35800043352299</v>
      </c>
      <c r="Y36" s="3">
        <f>SUM(Table1[Manufacturing costs],Table1[[#This Row],[Shipping costs]],Table1[[#This Row],[Costs]])</f>
        <v>5238.0468121513313</v>
      </c>
      <c r="Z36" s="1">
        <f>Table1[[#This Row],[Revenue generated]]-Table1[[#This Row],[total cost]]</f>
        <v>3823.6640833563888</v>
      </c>
      <c r="AA36" s="4">
        <f>IFERROR(Table1[[#This Row],[Revenue generated]]-Table1[[#This Row],[total cost]]/Table1[[#This Row],[Revenue generated]], 0)</f>
        <v>9061.1328538031739</v>
      </c>
      <c r="AB36">
        <f>SUM(Table1[[#This Row],[Manufacturing lead time]],Table1[[#This Row],[Shipping times]],Table1[[#This Row],[ supplier_Lead times]])</f>
        <v>43</v>
      </c>
      <c r="AC36" s="2" t="str" cm="1">
        <f t="array" ref="AC36">_xlfn.IFS(Table1[[#This Row],[toal lead time]]&gt;50, "high risk",Table1[[#This Row],[toal lead time]]&gt;=30, "moderate", "true", "optimal")</f>
        <v>moderate</v>
      </c>
    </row>
    <row r="37" spans="1:29" x14ac:dyDescent="0.3">
      <c r="A37" t="s">
        <v>55</v>
      </c>
      <c r="B37" t="s">
        <v>87</v>
      </c>
      <c r="C37" s="1">
        <v>84.957786816350406</v>
      </c>
      <c r="D37">
        <v>11</v>
      </c>
      <c r="E37">
        <v>449</v>
      </c>
      <c r="F37" s="1">
        <v>6541.3293448024597</v>
      </c>
      <c r="G37" t="s">
        <v>33</v>
      </c>
      <c r="H37">
        <v>42</v>
      </c>
      <c r="I37">
        <v>27</v>
      </c>
      <c r="J37">
        <v>85</v>
      </c>
      <c r="K37">
        <v>8</v>
      </c>
      <c r="L37" t="s">
        <v>41</v>
      </c>
      <c r="M37" s="1">
        <v>5.2881899903273997</v>
      </c>
      <c r="N37" t="s">
        <v>37</v>
      </c>
      <c r="O37" t="s">
        <v>48</v>
      </c>
      <c r="P37">
        <v>3</v>
      </c>
      <c r="Q37">
        <v>367</v>
      </c>
      <c r="R37">
        <v>2</v>
      </c>
      <c r="S37" s="1">
        <v>58.004787044743701</v>
      </c>
      <c r="T37" t="s">
        <v>62</v>
      </c>
      <c r="U37">
        <v>0.54115409806058101</v>
      </c>
      <c r="V37" t="s">
        <v>54</v>
      </c>
      <c r="W37" t="s">
        <v>39</v>
      </c>
      <c r="X37">
        <v>553.42047123035502</v>
      </c>
      <c r="Y37" s="3">
        <f>SUM(Table1[Manufacturing costs],Table1[[#This Row],[Shipping costs]],Table1[[#This Row],[Costs]])</f>
        <v>5285.3779853676697</v>
      </c>
      <c r="Z37" s="1">
        <f>Table1[[#This Row],[Revenue generated]]-Table1[[#This Row],[total cost]]</f>
        <v>1255.95135943479</v>
      </c>
      <c r="AA37" s="4">
        <f>IFERROR(Table1[[#This Row],[Revenue generated]]-Table1[[#This Row],[total cost]]/Table1[[#This Row],[Revenue generated]], 0)</f>
        <v>6540.5213472675905</v>
      </c>
      <c r="AB37">
        <f>SUM(Table1[[#This Row],[Manufacturing lead time]],Table1[[#This Row],[Shipping times]],Table1[[#This Row],[ supplier_Lead times]])</f>
        <v>37</v>
      </c>
      <c r="AC37" s="2" t="str" cm="1">
        <f t="array" ref="AC37">_xlfn.IFS(Table1[[#This Row],[toal lead time]]&gt;50, "high risk",Table1[[#This Row],[toal lead time]]&gt;=30, "moderate", "true", "optimal")</f>
        <v>moderate</v>
      </c>
    </row>
    <row r="38" spans="1:29" x14ac:dyDescent="0.3">
      <c r="A38" t="s">
        <v>31</v>
      </c>
      <c r="B38" t="s">
        <v>88</v>
      </c>
      <c r="C38" s="1">
        <v>9.81300257875405</v>
      </c>
      <c r="D38">
        <v>34</v>
      </c>
      <c r="E38">
        <v>963</v>
      </c>
      <c r="F38" s="1">
        <v>7573.4024578487297</v>
      </c>
      <c r="G38" t="s">
        <v>33</v>
      </c>
      <c r="H38">
        <v>18</v>
      </c>
      <c r="I38">
        <v>23</v>
      </c>
      <c r="J38">
        <v>28</v>
      </c>
      <c r="K38">
        <v>3</v>
      </c>
      <c r="L38" t="s">
        <v>25</v>
      </c>
      <c r="M38" s="1">
        <v>2.1079512671590801</v>
      </c>
      <c r="N38" t="s">
        <v>59</v>
      </c>
      <c r="O38" t="s">
        <v>48</v>
      </c>
      <c r="P38">
        <v>26</v>
      </c>
      <c r="Q38">
        <v>671</v>
      </c>
      <c r="R38">
        <v>19</v>
      </c>
      <c r="S38" s="1">
        <v>45.531364237162101</v>
      </c>
      <c r="T38" t="s">
        <v>44</v>
      </c>
      <c r="U38">
        <v>3.8055333792433501</v>
      </c>
      <c r="V38" t="s">
        <v>38</v>
      </c>
      <c r="W38" t="s">
        <v>39</v>
      </c>
      <c r="X38">
        <v>403.80897424817999</v>
      </c>
      <c r="Y38" s="3">
        <f>SUM(Table1[Manufacturing costs],Table1[[#This Row],[Shipping costs]],Table1[[#This Row],[Costs]])</f>
        <v>5132.5862496623258</v>
      </c>
      <c r="Z38" s="1">
        <f>Table1[[#This Row],[Revenue generated]]-Table1[[#This Row],[total cost]]</f>
        <v>2440.8162081864039</v>
      </c>
      <c r="AA38" s="4">
        <f>IFERROR(Table1[[#This Row],[Revenue generated]]-Table1[[#This Row],[total cost]]/Table1[[#This Row],[Revenue generated]], 0)</f>
        <v>7572.7247457796529</v>
      </c>
      <c r="AB38">
        <f>SUM(Table1[[#This Row],[Manufacturing lead time]],Table1[[#This Row],[Shipping times]],Table1[[#This Row],[ supplier_Lead times]])</f>
        <v>45</v>
      </c>
      <c r="AC38" s="2" t="str" cm="1">
        <f t="array" ref="AC38">_xlfn.IFS(Table1[[#This Row],[toal lead time]]&gt;50, "high risk",Table1[[#This Row],[toal lead time]]&gt;=30, "moderate", "true", "optimal")</f>
        <v>moderate</v>
      </c>
    </row>
    <row r="39" spans="1:29" x14ac:dyDescent="0.3">
      <c r="A39" t="s">
        <v>31</v>
      </c>
      <c r="B39" t="s">
        <v>89</v>
      </c>
      <c r="C39" s="1">
        <v>23.3998447526143</v>
      </c>
      <c r="D39">
        <v>5</v>
      </c>
      <c r="E39">
        <v>963</v>
      </c>
      <c r="F39" s="1">
        <v>2438.3399304700201</v>
      </c>
      <c r="G39" t="s">
        <v>33</v>
      </c>
      <c r="H39">
        <v>25</v>
      </c>
      <c r="I39">
        <v>8</v>
      </c>
      <c r="J39">
        <v>21</v>
      </c>
      <c r="K39">
        <v>9</v>
      </c>
      <c r="L39" t="s">
        <v>34</v>
      </c>
      <c r="M39" s="1">
        <v>1.53265527359043</v>
      </c>
      <c r="N39" t="s">
        <v>26</v>
      </c>
      <c r="O39" t="s">
        <v>43</v>
      </c>
      <c r="P39">
        <v>24</v>
      </c>
      <c r="Q39">
        <v>867</v>
      </c>
      <c r="R39">
        <v>15</v>
      </c>
      <c r="S39" s="1">
        <v>34.343277465075303</v>
      </c>
      <c r="T39" t="s">
        <v>28</v>
      </c>
      <c r="U39">
        <v>2.61028808484811</v>
      </c>
      <c r="V39" t="s">
        <v>54</v>
      </c>
      <c r="W39" t="s">
        <v>46</v>
      </c>
      <c r="X39">
        <v>183.932968043594</v>
      </c>
      <c r="Y39" s="3">
        <f>SUM(Table1[Manufacturing costs],Table1[[#This Row],[Shipping costs]],Table1[[#This Row],[Costs]])</f>
        <v>4912.1349474641711</v>
      </c>
      <c r="Z39" s="1">
        <f>Table1[[#This Row],[Revenue generated]]-Table1[[#This Row],[total cost]]</f>
        <v>-2473.795016994151</v>
      </c>
      <c r="AA39" s="4">
        <f>IFERROR(Table1[[#This Row],[Revenue generated]]-Table1[[#This Row],[total cost]]/Table1[[#This Row],[Revenue generated]], 0)</f>
        <v>2436.3253898040198</v>
      </c>
      <c r="AB39">
        <f>SUM(Table1[[#This Row],[Manufacturing lead time]],Table1[[#This Row],[Shipping times]],Table1[[#This Row],[ supplier_Lead times]])</f>
        <v>32</v>
      </c>
      <c r="AC39" s="2" t="str" cm="1">
        <f t="array" ref="AC39">_xlfn.IFS(Table1[[#This Row],[toal lead time]]&gt;50, "high risk",Table1[[#This Row],[toal lead time]]&gt;=30, "moderate", "true", "optimal")</f>
        <v>moderate</v>
      </c>
    </row>
    <row r="40" spans="1:29" x14ac:dyDescent="0.3">
      <c r="A40" t="s">
        <v>55</v>
      </c>
      <c r="B40" t="s">
        <v>90</v>
      </c>
      <c r="C40" s="1">
        <v>52.075930682707799</v>
      </c>
      <c r="D40">
        <v>75</v>
      </c>
      <c r="E40">
        <v>705</v>
      </c>
      <c r="F40" s="1">
        <v>9692.3180402184298</v>
      </c>
      <c r="G40" t="s">
        <v>24</v>
      </c>
      <c r="H40">
        <v>69</v>
      </c>
      <c r="I40">
        <v>1</v>
      </c>
      <c r="J40">
        <v>88</v>
      </c>
      <c r="K40">
        <v>5</v>
      </c>
      <c r="L40" t="s">
        <v>25</v>
      </c>
      <c r="M40" s="1">
        <v>9.2359314372492207</v>
      </c>
      <c r="N40" t="s">
        <v>42</v>
      </c>
      <c r="O40" t="s">
        <v>27</v>
      </c>
      <c r="P40">
        <v>10</v>
      </c>
      <c r="Q40">
        <v>841</v>
      </c>
      <c r="R40">
        <v>12</v>
      </c>
      <c r="S40" s="1">
        <v>5.9306936455283097</v>
      </c>
      <c r="T40" t="s">
        <v>28</v>
      </c>
      <c r="U40">
        <v>0.613326899164507</v>
      </c>
      <c r="V40" t="s">
        <v>38</v>
      </c>
      <c r="W40" t="s">
        <v>30</v>
      </c>
      <c r="X40">
        <v>339.67286994860598</v>
      </c>
      <c r="Y40" s="3">
        <f>SUM(Table1[Manufacturing costs],Table1[[#This Row],[Shipping costs]],Table1[[#This Row],[Costs]])</f>
        <v>5075.5781255328411</v>
      </c>
      <c r="Z40" s="1">
        <f>Table1[[#This Row],[Revenue generated]]-Table1[[#This Row],[total cost]]</f>
        <v>4616.7399146855887</v>
      </c>
      <c r="AA40" s="4">
        <f>IFERROR(Table1[[#This Row],[Revenue generated]]-Table1[[#This Row],[total cost]]/Table1[[#This Row],[Revenue generated]], 0)</f>
        <v>9691.7943700185388</v>
      </c>
      <c r="AB40">
        <f>SUM(Table1[[#This Row],[Manufacturing lead time]],Table1[[#This Row],[Shipping times]],Table1[[#This Row],[ supplier_Lead times]])</f>
        <v>18</v>
      </c>
      <c r="AC40" s="2" t="str" cm="1">
        <f t="array" ref="AC40">_xlfn.IFS(Table1[[#This Row],[toal lead time]]&gt;50, "high risk",Table1[[#This Row],[toal lead time]]&gt;=30, "moderate", "true", "optimal")</f>
        <v>optimal</v>
      </c>
    </row>
    <row r="41" spans="1:29" x14ac:dyDescent="0.3">
      <c r="A41" t="s">
        <v>31</v>
      </c>
      <c r="B41" t="s">
        <v>91</v>
      </c>
      <c r="C41" s="1">
        <v>19.127477265823199</v>
      </c>
      <c r="D41">
        <v>26</v>
      </c>
      <c r="E41">
        <v>176</v>
      </c>
      <c r="F41" s="1">
        <v>1912.4656631007599</v>
      </c>
      <c r="G41" t="s">
        <v>33</v>
      </c>
      <c r="H41">
        <v>78</v>
      </c>
      <c r="I41">
        <v>29</v>
      </c>
      <c r="J41">
        <v>34</v>
      </c>
      <c r="K41">
        <v>3</v>
      </c>
      <c r="L41" t="s">
        <v>34</v>
      </c>
      <c r="M41" s="1">
        <v>5.5625037788303802</v>
      </c>
      <c r="N41" t="s">
        <v>59</v>
      </c>
      <c r="O41" t="s">
        <v>43</v>
      </c>
      <c r="P41">
        <v>30</v>
      </c>
      <c r="Q41">
        <v>791</v>
      </c>
      <c r="R41">
        <v>6</v>
      </c>
      <c r="S41" s="1">
        <v>9.0058074287816403</v>
      </c>
      <c r="T41" t="s">
        <v>44</v>
      </c>
      <c r="U41">
        <v>1.4519722039968099</v>
      </c>
      <c r="V41" t="s">
        <v>38</v>
      </c>
      <c r="W41" t="s">
        <v>30</v>
      </c>
      <c r="X41">
        <v>653.67299455203295</v>
      </c>
      <c r="Y41" s="3">
        <f>SUM(Table1[Manufacturing costs],Table1[[#This Row],[Shipping costs]],Table1[[#This Row],[Costs]])</f>
        <v>5385.9048224778498</v>
      </c>
      <c r="Z41" s="1">
        <f>Table1[[#This Row],[Revenue generated]]-Table1[[#This Row],[total cost]]</f>
        <v>-3473.4391593770897</v>
      </c>
      <c r="AA41" s="4">
        <f>IFERROR(Table1[[#This Row],[Revenue generated]]-Table1[[#This Row],[total cost]]/Table1[[#This Row],[Revenue generated]], 0)</f>
        <v>1909.6494531544097</v>
      </c>
      <c r="AB41">
        <f>SUM(Table1[[#This Row],[Manufacturing lead time]],Table1[[#This Row],[Shipping times]],Table1[[#This Row],[ supplier_Lead times]])</f>
        <v>38</v>
      </c>
      <c r="AC41" s="2" t="str" cm="1">
        <f t="array" ref="AC41">_xlfn.IFS(Table1[[#This Row],[toal lead time]]&gt;50, "high risk",Table1[[#This Row],[toal lead time]]&gt;=30, "moderate", "true", "optimal")</f>
        <v>moderate</v>
      </c>
    </row>
    <row r="42" spans="1:29" x14ac:dyDescent="0.3">
      <c r="A42" t="s">
        <v>31</v>
      </c>
      <c r="B42" t="s">
        <v>92</v>
      </c>
      <c r="C42" s="1">
        <v>80.541424170940303</v>
      </c>
      <c r="D42">
        <v>97</v>
      </c>
      <c r="E42">
        <v>933</v>
      </c>
      <c r="F42" s="1">
        <v>5724.9593504562599</v>
      </c>
      <c r="G42" t="s">
        <v>33</v>
      </c>
      <c r="H42">
        <v>90</v>
      </c>
      <c r="I42">
        <v>20</v>
      </c>
      <c r="J42">
        <v>39</v>
      </c>
      <c r="K42">
        <v>8</v>
      </c>
      <c r="L42" t="s">
        <v>41</v>
      </c>
      <c r="M42" s="1">
        <v>7.2295951397364702</v>
      </c>
      <c r="N42" t="s">
        <v>37</v>
      </c>
      <c r="O42" t="s">
        <v>43</v>
      </c>
      <c r="P42">
        <v>18</v>
      </c>
      <c r="Q42">
        <v>793</v>
      </c>
      <c r="R42">
        <v>1</v>
      </c>
      <c r="S42" s="1">
        <v>88.179407104217404</v>
      </c>
      <c r="T42" t="s">
        <v>28</v>
      </c>
      <c r="U42">
        <v>4.2132694305865597</v>
      </c>
      <c r="V42" t="s">
        <v>29</v>
      </c>
      <c r="W42" t="s">
        <v>46</v>
      </c>
      <c r="X42">
        <v>529.80872398069096</v>
      </c>
      <c r="Y42" s="3">
        <f>SUM(Table1[Manufacturing costs],Table1[[#This Row],[Shipping costs]],Table1[[#This Row],[Costs]])</f>
        <v>5263.7076432674139</v>
      </c>
      <c r="Z42" s="1">
        <f>Table1[[#This Row],[Revenue generated]]-Table1[[#This Row],[total cost]]</f>
        <v>461.25170718884601</v>
      </c>
      <c r="AA42" s="4">
        <f>IFERROR(Table1[[#This Row],[Revenue generated]]-Table1[[#This Row],[total cost]]/Table1[[#This Row],[Revenue generated]], 0)</f>
        <v>5724.0399190121143</v>
      </c>
      <c r="AB42">
        <f>SUM(Table1[[#This Row],[Manufacturing lead time]],Table1[[#This Row],[Shipping times]],Table1[[#This Row],[ supplier_Lead times]])</f>
        <v>29</v>
      </c>
      <c r="AC42" s="2" t="str" cm="1">
        <f t="array" ref="AC42">_xlfn.IFS(Table1[[#This Row],[toal lead time]]&gt;50, "high risk",Table1[[#This Row],[toal lead time]]&gt;=30, "moderate", "true", "optimal")</f>
        <v>optimal</v>
      </c>
    </row>
    <row r="43" spans="1:29" x14ac:dyDescent="0.3">
      <c r="A43" t="s">
        <v>31</v>
      </c>
      <c r="B43" t="s">
        <v>93</v>
      </c>
      <c r="C43" s="1">
        <v>99.113291615317095</v>
      </c>
      <c r="D43">
        <v>35</v>
      </c>
      <c r="E43">
        <v>556</v>
      </c>
      <c r="F43" s="1">
        <v>5521.2052590109697</v>
      </c>
      <c r="G43" t="s">
        <v>33</v>
      </c>
      <c r="H43">
        <v>64</v>
      </c>
      <c r="I43">
        <v>19</v>
      </c>
      <c r="J43">
        <v>38</v>
      </c>
      <c r="K43">
        <v>8</v>
      </c>
      <c r="L43" t="s">
        <v>25</v>
      </c>
      <c r="M43" s="1">
        <v>5.7732637437666501</v>
      </c>
      <c r="N43" t="s">
        <v>50</v>
      </c>
      <c r="O43" t="s">
        <v>60</v>
      </c>
      <c r="P43">
        <v>18</v>
      </c>
      <c r="Q43">
        <v>892</v>
      </c>
      <c r="R43">
        <v>7</v>
      </c>
      <c r="S43" s="1">
        <v>95.332064548772493</v>
      </c>
      <c r="T43" t="s">
        <v>44</v>
      </c>
      <c r="U43">
        <v>4.5302262398259602E-2</v>
      </c>
      <c r="V43" t="s">
        <v>54</v>
      </c>
      <c r="W43" t="s">
        <v>46</v>
      </c>
      <c r="X43">
        <v>275.52437113130901</v>
      </c>
      <c r="Y43" s="3">
        <f>SUM(Table1[Manufacturing costs],Table1[[#This Row],[Shipping costs]],Table1[[#This Row],[Costs]])</f>
        <v>5007.9669590220619</v>
      </c>
      <c r="Z43" s="1">
        <f>Table1[[#This Row],[Revenue generated]]-Table1[[#This Row],[total cost]]</f>
        <v>513.23829998890778</v>
      </c>
      <c r="AA43" s="4">
        <f>IFERROR(Table1[[#This Row],[Revenue generated]]-Table1[[#This Row],[total cost]]/Table1[[#This Row],[Revenue generated]], 0)</f>
        <v>5520.2982166671172</v>
      </c>
      <c r="AB43">
        <f>SUM(Table1[[#This Row],[Manufacturing lead time]],Table1[[#This Row],[Shipping times]],Table1[[#This Row],[ supplier_Lead times]])</f>
        <v>34</v>
      </c>
      <c r="AC43" s="2" t="str" cm="1">
        <f t="array" ref="AC43">_xlfn.IFS(Table1[[#This Row],[toal lead time]]&gt;50, "high risk",Table1[[#This Row],[toal lead time]]&gt;=30, "moderate", "true", "optimal")</f>
        <v>moderate</v>
      </c>
    </row>
    <row r="44" spans="1:29" x14ac:dyDescent="0.3">
      <c r="A44" t="s">
        <v>31</v>
      </c>
      <c r="B44" t="s">
        <v>94</v>
      </c>
      <c r="C44" s="1">
        <v>46.529167614516702</v>
      </c>
      <c r="D44">
        <v>98</v>
      </c>
      <c r="E44">
        <v>155</v>
      </c>
      <c r="F44" s="1">
        <v>1839.60942585676</v>
      </c>
      <c r="G44" t="s">
        <v>33</v>
      </c>
      <c r="H44">
        <v>22</v>
      </c>
      <c r="I44">
        <v>27</v>
      </c>
      <c r="J44">
        <v>57</v>
      </c>
      <c r="K44">
        <v>4</v>
      </c>
      <c r="L44" t="s">
        <v>41</v>
      </c>
      <c r="M44" s="1">
        <v>7.5262483268515004</v>
      </c>
      <c r="N44" t="s">
        <v>42</v>
      </c>
      <c r="O44" t="s">
        <v>51</v>
      </c>
      <c r="P44">
        <v>26</v>
      </c>
      <c r="Q44">
        <v>179</v>
      </c>
      <c r="R44">
        <v>7</v>
      </c>
      <c r="S44" s="1">
        <v>96.422820639571796</v>
      </c>
      <c r="T44" t="s">
        <v>44</v>
      </c>
      <c r="U44">
        <v>4.9392552886209398</v>
      </c>
      <c r="V44" t="s">
        <v>29</v>
      </c>
      <c r="W44" t="s">
        <v>46</v>
      </c>
      <c r="X44">
        <v>635.65712050199102</v>
      </c>
      <c r="Y44" s="3">
        <f>SUM(Table1[Manufacturing costs],Table1[[#This Row],[Shipping costs]],Table1[[#This Row],[Costs]])</f>
        <v>5369.8526929758291</v>
      </c>
      <c r="Z44" s="1">
        <f>Table1[[#This Row],[Revenue generated]]-Table1[[#This Row],[total cost]]</f>
        <v>-3530.2432671190691</v>
      </c>
      <c r="AA44" s="4">
        <f>IFERROR(Table1[[#This Row],[Revenue generated]]-Table1[[#This Row],[total cost]]/Table1[[#This Row],[Revenue generated]], 0)</f>
        <v>1836.6904080383581</v>
      </c>
      <c r="AB44">
        <f>SUM(Table1[[#This Row],[Manufacturing lead time]],Table1[[#This Row],[Shipping times]],Table1[[#This Row],[ supplier_Lead times]])</f>
        <v>38</v>
      </c>
      <c r="AC44" s="2" t="str" cm="1">
        <f t="array" ref="AC44">_xlfn.IFS(Table1[[#This Row],[toal lead time]]&gt;50, "high risk",Table1[[#This Row],[toal lead time]]&gt;=30, "moderate", "true", "optimal")</f>
        <v>moderate</v>
      </c>
    </row>
    <row r="45" spans="1:29" x14ac:dyDescent="0.3">
      <c r="A45" t="s">
        <v>22</v>
      </c>
      <c r="B45" t="s">
        <v>95</v>
      </c>
      <c r="C45" s="1">
        <v>11.7432717763092</v>
      </c>
      <c r="D45">
        <v>6</v>
      </c>
      <c r="E45">
        <v>598</v>
      </c>
      <c r="F45" s="1">
        <v>5737.4255991190203</v>
      </c>
      <c r="G45" t="s">
        <v>36</v>
      </c>
      <c r="H45">
        <v>36</v>
      </c>
      <c r="I45">
        <v>29</v>
      </c>
      <c r="J45">
        <v>85</v>
      </c>
      <c r="K45">
        <v>9</v>
      </c>
      <c r="L45" t="s">
        <v>25</v>
      </c>
      <c r="M45" s="1">
        <v>3.6940212683884499</v>
      </c>
      <c r="N45" t="s">
        <v>42</v>
      </c>
      <c r="O45" t="s">
        <v>27</v>
      </c>
      <c r="P45">
        <v>1</v>
      </c>
      <c r="Q45">
        <v>206</v>
      </c>
      <c r="R45">
        <v>23</v>
      </c>
      <c r="S45" s="1">
        <v>26.2773659573324</v>
      </c>
      <c r="T45" t="s">
        <v>28</v>
      </c>
      <c r="U45">
        <v>0.37230476798509698</v>
      </c>
      <c r="V45" t="s">
        <v>38</v>
      </c>
      <c r="W45" t="s">
        <v>46</v>
      </c>
      <c r="X45">
        <v>716.04411975933999</v>
      </c>
      <c r="Y45" s="3">
        <f>SUM(Table1[Manufacturing costs],Table1[[#This Row],[Shipping costs]],Table1[[#This Row],[Costs]])</f>
        <v>5446.4074651747151</v>
      </c>
      <c r="Z45" s="1">
        <f>Table1[[#This Row],[Revenue generated]]-Table1[[#This Row],[total cost]]</f>
        <v>291.01813394430519</v>
      </c>
      <c r="AA45" s="4">
        <f>IFERROR(Table1[[#This Row],[Revenue generated]]-Table1[[#This Row],[total cost]]/Table1[[#This Row],[Revenue generated]], 0)</f>
        <v>5736.476321891615</v>
      </c>
      <c r="AB45">
        <f>SUM(Table1[[#This Row],[Manufacturing lead time]],Table1[[#This Row],[Shipping times]],Table1[[#This Row],[ supplier_Lead times]])</f>
        <v>61</v>
      </c>
      <c r="AC45" s="2" t="str" cm="1">
        <f t="array" ref="AC45">_xlfn.IFS(Table1[[#This Row],[toal lead time]]&gt;50, "high risk",Table1[[#This Row],[toal lead time]]&gt;=30, "moderate", "true", "optimal")</f>
        <v>high risk</v>
      </c>
    </row>
    <row r="46" spans="1:29" x14ac:dyDescent="0.3">
      <c r="A46" t="s">
        <v>55</v>
      </c>
      <c r="B46" t="s">
        <v>96</v>
      </c>
      <c r="C46" s="1">
        <v>51.355790913110297</v>
      </c>
      <c r="D46">
        <v>34</v>
      </c>
      <c r="E46">
        <v>919</v>
      </c>
      <c r="F46" s="1">
        <v>7152.28604943551</v>
      </c>
      <c r="G46" t="s">
        <v>33</v>
      </c>
      <c r="H46">
        <v>13</v>
      </c>
      <c r="I46">
        <v>19</v>
      </c>
      <c r="J46">
        <v>72</v>
      </c>
      <c r="K46">
        <v>6</v>
      </c>
      <c r="L46" t="s">
        <v>41</v>
      </c>
      <c r="M46" s="1">
        <v>7.5774496573766896</v>
      </c>
      <c r="N46" t="s">
        <v>59</v>
      </c>
      <c r="O46" t="s">
        <v>48</v>
      </c>
      <c r="P46">
        <v>7</v>
      </c>
      <c r="Q46">
        <v>834</v>
      </c>
      <c r="R46">
        <v>18</v>
      </c>
      <c r="S46" s="1">
        <v>22.554106620887701</v>
      </c>
      <c r="T46" t="s">
        <v>44</v>
      </c>
      <c r="U46">
        <v>2.9626263204548802</v>
      </c>
      <c r="V46" t="s">
        <v>45</v>
      </c>
      <c r="W46" t="s">
        <v>46</v>
      </c>
      <c r="X46">
        <v>610.45326961922694</v>
      </c>
      <c r="Y46" s="3">
        <f>SUM(Table1[Manufacturing costs],Table1[[#This Row],[Shipping costs]],Table1[[#This Row],[Costs]])</f>
        <v>5344.7000434235906</v>
      </c>
      <c r="Z46" s="1">
        <f>Table1[[#This Row],[Revenue generated]]-Table1[[#This Row],[total cost]]</f>
        <v>1807.5860060119194</v>
      </c>
      <c r="AA46" s="4">
        <f>IFERROR(Table1[[#This Row],[Revenue generated]]-Table1[[#This Row],[total cost]]/Table1[[#This Row],[Revenue generated]], 0)</f>
        <v>7151.5387778629693</v>
      </c>
      <c r="AB46">
        <f>SUM(Table1[[#This Row],[Manufacturing lead time]],Table1[[#This Row],[Shipping times]],Table1[[#This Row],[ supplier_Lead times]])</f>
        <v>43</v>
      </c>
      <c r="AC46" s="2" t="str" cm="1">
        <f t="array" ref="AC46">_xlfn.IFS(Table1[[#This Row],[toal lead time]]&gt;50, "high risk",Table1[[#This Row],[toal lead time]]&gt;=30, "moderate", "true", "optimal")</f>
        <v>moderate</v>
      </c>
    </row>
    <row r="47" spans="1:29" x14ac:dyDescent="0.3">
      <c r="A47" t="s">
        <v>22</v>
      </c>
      <c r="B47" t="s">
        <v>97</v>
      </c>
      <c r="C47" s="1">
        <v>33.784138033065503</v>
      </c>
      <c r="D47">
        <v>1</v>
      </c>
      <c r="E47">
        <v>24</v>
      </c>
      <c r="F47" s="1">
        <v>5267.9568075105199</v>
      </c>
      <c r="G47" t="s">
        <v>53</v>
      </c>
      <c r="H47">
        <v>93</v>
      </c>
      <c r="I47">
        <v>7</v>
      </c>
      <c r="J47">
        <v>52</v>
      </c>
      <c r="K47">
        <v>6</v>
      </c>
      <c r="L47" t="s">
        <v>25</v>
      </c>
      <c r="M47" s="1">
        <v>5.2151550087119096</v>
      </c>
      <c r="N47" t="s">
        <v>59</v>
      </c>
      <c r="O47" t="s">
        <v>60</v>
      </c>
      <c r="P47">
        <v>25</v>
      </c>
      <c r="Q47">
        <v>794</v>
      </c>
      <c r="R47">
        <v>25</v>
      </c>
      <c r="S47" s="1">
        <v>66.312544439991598</v>
      </c>
      <c r="T47" t="s">
        <v>62</v>
      </c>
      <c r="U47">
        <v>3.2196046120841002</v>
      </c>
      <c r="V47" t="s">
        <v>45</v>
      </c>
      <c r="W47" t="s">
        <v>46</v>
      </c>
      <c r="X47">
        <v>495.30569702847299</v>
      </c>
      <c r="Y47" s="3">
        <f>SUM(Table1[Manufacturing costs],Table1[[#This Row],[Shipping costs]],Table1[[#This Row],[Costs]])</f>
        <v>5227.1901761841718</v>
      </c>
      <c r="Z47" s="1">
        <f>Table1[[#This Row],[Revenue generated]]-Table1[[#This Row],[total cost]]</f>
        <v>40.766631326348033</v>
      </c>
      <c r="AA47" s="4">
        <f>IFERROR(Table1[[#This Row],[Revenue generated]]-Table1[[#This Row],[total cost]]/Table1[[#This Row],[Revenue generated]], 0)</f>
        <v>5266.9645461144637</v>
      </c>
      <c r="AB47">
        <f>SUM(Table1[[#This Row],[Manufacturing lead time]],Table1[[#This Row],[Shipping times]],Table1[[#This Row],[ supplier_Lead times]])</f>
        <v>38</v>
      </c>
      <c r="AC47" s="2" t="str" cm="1">
        <f t="array" ref="AC47">_xlfn.IFS(Table1[[#This Row],[toal lead time]]&gt;50, "high risk",Table1[[#This Row],[toal lead time]]&gt;=30, "moderate", "true", "optimal")</f>
        <v>moderate</v>
      </c>
    </row>
    <row r="48" spans="1:29" x14ac:dyDescent="0.3">
      <c r="A48" t="s">
        <v>22</v>
      </c>
      <c r="B48" t="s">
        <v>98</v>
      </c>
      <c r="C48" s="1">
        <v>27.082207199888899</v>
      </c>
      <c r="D48">
        <v>75</v>
      </c>
      <c r="E48">
        <v>859</v>
      </c>
      <c r="F48" s="1">
        <v>2556.7673606335902</v>
      </c>
      <c r="G48" t="s">
        <v>24</v>
      </c>
      <c r="H48">
        <v>92</v>
      </c>
      <c r="I48">
        <v>29</v>
      </c>
      <c r="J48">
        <v>6</v>
      </c>
      <c r="K48">
        <v>8</v>
      </c>
      <c r="L48" t="s">
        <v>25</v>
      </c>
      <c r="M48" s="1">
        <v>4.0709558370840799</v>
      </c>
      <c r="N48" t="s">
        <v>26</v>
      </c>
      <c r="O48" t="s">
        <v>60</v>
      </c>
      <c r="P48">
        <v>18</v>
      </c>
      <c r="Q48">
        <v>870</v>
      </c>
      <c r="R48">
        <v>23</v>
      </c>
      <c r="S48" s="1">
        <v>77.322353211051606</v>
      </c>
      <c r="T48" t="s">
        <v>28</v>
      </c>
      <c r="U48">
        <v>3.6486105925361998</v>
      </c>
      <c r="V48" t="s">
        <v>29</v>
      </c>
      <c r="W48" t="s">
        <v>30</v>
      </c>
      <c r="X48">
        <v>380.43593711196399</v>
      </c>
      <c r="Y48" s="3">
        <f>SUM(Table1[Manufacturing costs],Table1[[#This Row],[Shipping costs]],Table1[[#This Row],[Costs]])</f>
        <v>5111.1762170960355</v>
      </c>
      <c r="Z48" s="1">
        <f>Table1[[#This Row],[Revenue generated]]-Table1[[#This Row],[total cost]]</f>
        <v>-2554.4088564624453</v>
      </c>
      <c r="AA48" s="4">
        <f>IFERROR(Table1[[#This Row],[Revenue generated]]-Table1[[#This Row],[total cost]]/Table1[[#This Row],[Revenue generated]], 0)</f>
        <v>2554.7682830891126</v>
      </c>
      <c r="AB48">
        <f>SUM(Table1[[#This Row],[Manufacturing lead time]],Table1[[#This Row],[Shipping times]],Table1[[#This Row],[ supplier_Lead times]])</f>
        <v>60</v>
      </c>
      <c r="AC48" s="2" t="str" cm="1">
        <f t="array" ref="AC48">_xlfn.IFS(Table1[[#This Row],[toal lead time]]&gt;50, "high risk",Table1[[#This Row],[toal lead time]]&gt;=30, "moderate", "true", "optimal")</f>
        <v>high risk</v>
      </c>
    </row>
    <row r="49" spans="1:29" x14ac:dyDescent="0.3">
      <c r="A49" t="s">
        <v>31</v>
      </c>
      <c r="B49" t="s">
        <v>99</v>
      </c>
      <c r="C49" s="1">
        <v>95.712135880936003</v>
      </c>
      <c r="D49">
        <v>93</v>
      </c>
      <c r="E49">
        <v>910</v>
      </c>
      <c r="F49" s="1">
        <v>7089.4742499341801</v>
      </c>
      <c r="G49" t="s">
        <v>53</v>
      </c>
      <c r="H49">
        <v>4</v>
      </c>
      <c r="I49">
        <v>15</v>
      </c>
      <c r="J49">
        <v>51</v>
      </c>
      <c r="K49">
        <v>9</v>
      </c>
      <c r="L49" t="s">
        <v>25</v>
      </c>
      <c r="M49" s="1">
        <v>8.9787507559499709</v>
      </c>
      <c r="N49" t="s">
        <v>37</v>
      </c>
      <c r="O49" t="s">
        <v>43</v>
      </c>
      <c r="P49">
        <v>10</v>
      </c>
      <c r="Q49">
        <v>964</v>
      </c>
      <c r="R49">
        <v>20</v>
      </c>
      <c r="S49" s="1">
        <v>19.7129929112936</v>
      </c>
      <c r="T49" t="s">
        <v>28</v>
      </c>
      <c r="U49">
        <v>0.38057358671321301</v>
      </c>
      <c r="V49" t="s">
        <v>45</v>
      </c>
      <c r="W49" t="s">
        <v>46</v>
      </c>
      <c r="X49">
        <v>581.60235505058597</v>
      </c>
      <c r="Y49" s="3">
        <f>SUM(Table1[Manufacturing costs],Table1[[#This Row],[Shipping costs]],Table1[[#This Row],[Costs]])</f>
        <v>5317.2504299535231</v>
      </c>
      <c r="Z49" s="1">
        <f>Table1[[#This Row],[Revenue generated]]-Table1[[#This Row],[total cost]]</f>
        <v>1772.223819980657</v>
      </c>
      <c r="AA49" s="4">
        <f>IFERROR(Table1[[#This Row],[Revenue generated]]-Table1[[#This Row],[total cost]]/Table1[[#This Row],[Revenue generated]], 0)</f>
        <v>7088.7242295176447</v>
      </c>
      <c r="AB49">
        <f>SUM(Table1[[#This Row],[Manufacturing lead time]],Table1[[#This Row],[Shipping times]],Table1[[#This Row],[ supplier_Lead times]])</f>
        <v>44</v>
      </c>
      <c r="AC49" s="2" t="str" cm="1">
        <f t="array" ref="AC49">_xlfn.IFS(Table1[[#This Row],[toal lead time]]&gt;50, "high risk",Table1[[#This Row],[toal lead time]]&gt;=30, "moderate", "true", "optimal")</f>
        <v>moderate</v>
      </c>
    </row>
    <row r="50" spans="1:29" x14ac:dyDescent="0.3">
      <c r="A50" t="s">
        <v>22</v>
      </c>
      <c r="B50" t="s">
        <v>100</v>
      </c>
      <c r="C50" s="1">
        <v>76.035544426891704</v>
      </c>
      <c r="D50">
        <v>28</v>
      </c>
      <c r="E50">
        <v>29</v>
      </c>
      <c r="F50" s="1">
        <v>7397.0710045871801</v>
      </c>
      <c r="G50" t="s">
        <v>24</v>
      </c>
      <c r="H50">
        <v>30</v>
      </c>
      <c r="I50">
        <v>16</v>
      </c>
      <c r="J50">
        <v>9</v>
      </c>
      <c r="K50">
        <v>3</v>
      </c>
      <c r="L50" t="s">
        <v>41</v>
      </c>
      <c r="M50" s="1">
        <v>7.0958331565551296</v>
      </c>
      <c r="N50" t="s">
        <v>59</v>
      </c>
      <c r="O50" t="s">
        <v>27</v>
      </c>
      <c r="P50">
        <v>9</v>
      </c>
      <c r="Q50">
        <v>109</v>
      </c>
      <c r="R50">
        <v>18</v>
      </c>
      <c r="S50" s="1">
        <v>23.126363582464698</v>
      </c>
      <c r="T50" t="s">
        <v>44</v>
      </c>
      <c r="U50">
        <v>1.6981125407144</v>
      </c>
      <c r="V50" t="s">
        <v>45</v>
      </c>
      <c r="W50" t="s">
        <v>30</v>
      </c>
      <c r="X50">
        <v>768.65191395437</v>
      </c>
      <c r="Y50" s="3">
        <f>SUM(Table1[Manufacturing costs],Table1[[#This Row],[Shipping costs]],Table1[[#This Row],[Costs]])</f>
        <v>5502.4170712579116</v>
      </c>
      <c r="Z50" s="1">
        <f>Table1[[#This Row],[Revenue generated]]-Table1[[#This Row],[total cost]]</f>
        <v>1894.6539333292685</v>
      </c>
      <c r="AA50" s="4">
        <f>IFERROR(Table1[[#This Row],[Revenue generated]]-Table1[[#This Row],[total cost]]/Table1[[#This Row],[Revenue generated]], 0)</f>
        <v>7396.3271402836135</v>
      </c>
      <c r="AB50">
        <f>SUM(Table1[[#This Row],[Manufacturing lead time]],Table1[[#This Row],[Shipping times]],Table1[[#This Row],[ supplier_Lead times]])</f>
        <v>37</v>
      </c>
      <c r="AC50" s="2" t="str" cm="1">
        <f t="array" ref="AC50">_xlfn.IFS(Table1[[#This Row],[toal lead time]]&gt;50, "high risk",Table1[[#This Row],[toal lead time]]&gt;=30, "moderate", "true", "optimal")</f>
        <v>moderate</v>
      </c>
    </row>
    <row r="51" spans="1:29" x14ac:dyDescent="0.3">
      <c r="A51" t="s">
        <v>55</v>
      </c>
      <c r="B51" t="s">
        <v>101</v>
      </c>
      <c r="C51" s="1">
        <v>78.897913205639995</v>
      </c>
      <c r="D51">
        <v>19</v>
      </c>
      <c r="E51">
        <v>99</v>
      </c>
      <c r="F51" s="1">
        <v>8001.6132065190004</v>
      </c>
      <c r="G51" t="s">
        <v>36</v>
      </c>
      <c r="H51">
        <v>97</v>
      </c>
      <c r="I51">
        <v>24</v>
      </c>
      <c r="J51">
        <v>9</v>
      </c>
      <c r="K51">
        <v>6</v>
      </c>
      <c r="L51" t="s">
        <v>41</v>
      </c>
      <c r="M51" s="1">
        <v>2.5056210329009101</v>
      </c>
      <c r="N51" t="s">
        <v>42</v>
      </c>
      <c r="O51" t="s">
        <v>48</v>
      </c>
      <c r="P51">
        <v>28</v>
      </c>
      <c r="Q51">
        <v>177</v>
      </c>
      <c r="R51">
        <v>28</v>
      </c>
      <c r="S51" s="1">
        <v>14.1478154439792</v>
      </c>
      <c r="T51" t="s">
        <v>62</v>
      </c>
      <c r="U51">
        <v>2.8258139854001301</v>
      </c>
      <c r="V51" t="s">
        <v>45</v>
      </c>
      <c r="W51" t="s">
        <v>46</v>
      </c>
      <c r="X51">
        <v>336.89016851997701</v>
      </c>
      <c r="Y51" s="3">
        <f>SUM(Table1[Manufacturing costs],Table1[[#This Row],[Shipping costs]],Table1[[#This Row],[Costs]])</f>
        <v>5066.0651136998649</v>
      </c>
      <c r="Z51" s="1">
        <f>Table1[[#This Row],[Revenue generated]]-Table1[[#This Row],[total cost]]</f>
        <v>2935.5480928191355</v>
      </c>
      <c r="AA51" s="4">
        <f>IFERROR(Table1[[#This Row],[Revenue generated]]-Table1[[#This Row],[total cost]]/Table1[[#This Row],[Revenue generated]], 0)</f>
        <v>8000.9800760510625</v>
      </c>
      <c r="AB51">
        <f>SUM(Table1[[#This Row],[Manufacturing lead time]],Table1[[#This Row],[Shipping times]],Table1[[#This Row],[ supplier_Lead times]])</f>
        <v>58</v>
      </c>
      <c r="AC51" s="2" t="str" cm="1">
        <f t="array" ref="AC51">_xlfn.IFS(Table1[[#This Row],[toal lead time]]&gt;50, "high risk",Table1[[#This Row],[toal lead time]]&gt;=30, "moderate", "true", "optimal")</f>
        <v>high risk</v>
      </c>
    </row>
    <row r="52" spans="1:29" x14ac:dyDescent="0.3">
      <c r="A52" t="s">
        <v>55</v>
      </c>
      <c r="B52" t="s">
        <v>102</v>
      </c>
      <c r="C52" s="1">
        <v>14.203484264803</v>
      </c>
      <c r="D52">
        <v>91</v>
      </c>
      <c r="E52">
        <v>633</v>
      </c>
      <c r="F52" s="1">
        <v>5910.8853896688897</v>
      </c>
      <c r="G52" t="s">
        <v>33</v>
      </c>
      <c r="H52">
        <v>31</v>
      </c>
      <c r="I52">
        <v>23</v>
      </c>
      <c r="J52">
        <v>82</v>
      </c>
      <c r="K52">
        <v>10</v>
      </c>
      <c r="L52" t="s">
        <v>34</v>
      </c>
      <c r="M52" s="1">
        <v>6.2478609149759903</v>
      </c>
      <c r="N52" t="s">
        <v>59</v>
      </c>
      <c r="O52" t="s">
        <v>48</v>
      </c>
      <c r="P52">
        <v>20</v>
      </c>
      <c r="Q52">
        <v>306</v>
      </c>
      <c r="R52">
        <v>21</v>
      </c>
      <c r="S52" s="1">
        <v>45.178757924634503</v>
      </c>
      <c r="T52" t="s">
        <v>44</v>
      </c>
      <c r="U52">
        <v>4.7548008046711798</v>
      </c>
      <c r="V52" t="s">
        <v>45</v>
      </c>
      <c r="W52" t="s">
        <v>30</v>
      </c>
      <c r="X52">
        <v>496.24865029194001</v>
      </c>
      <c r="Y52" s="3">
        <f>SUM(Table1[Manufacturing costs],Table1[[#This Row],[Shipping costs]],Table1[[#This Row],[Costs]])</f>
        <v>5229.1658353539024</v>
      </c>
      <c r="Z52" s="1">
        <f>Table1[[#This Row],[Revenue generated]]-Table1[[#This Row],[total cost]]</f>
        <v>681.71955431498736</v>
      </c>
      <c r="AA52" s="4">
        <f>IFERROR(Table1[[#This Row],[Revenue generated]]-Table1[[#This Row],[total cost]]/Table1[[#This Row],[Revenue generated]], 0)</f>
        <v>5910.0007225690179</v>
      </c>
      <c r="AB52">
        <f>SUM(Table1[[#This Row],[Manufacturing lead time]],Table1[[#This Row],[Shipping times]],Table1[[#This Row],[ supplier_Lead times]])</f>
        <v>54</v>
      </c>
      <c r="AC52" s="2" t="str" cm="1">
        <f t="array" ref="AC52">_xlfn.IFS(Table1[[#This Row],[toal lead time]]&gt;50, "high risk",Table1[[#This Row],[toal lead time]]&gt;=30, "moderate", "true", "optimal")</f>
        <v>high risk</v>
      </c>
    </row>
    <row r="53" spans="1:29" x14ac:dyDescent="0.3">
      <c r="A53" t="s">
        <v>22</v>
      </c>
      <c r="B53" t="s">
        <v>103</v>
      </c>
      <c r="C53" s="1">
        <v>26.700760972461701</v>
      </c>
      <c r="D53">
        <v>61</v>
      </c>
      <c r="E53">
        <v>154</v>
      </c>
      <c r="F53" s="1">
        <v>9866.4654579796897</v>
      </c>
      <c r="G53" t="s">
        <v>53</v>
      </c>
      <c r="H53">
        <v>100</v>
      </c>
      <c r="I53">
        <v>4</v>
      </c>
      <c r="J53">
        <v>52</v>
      </c>
      <c r="K53">
        <v>1</v>
      </c>
      <c r="L53" t="s">
        <v>34</v>
      </c>
      <c r="M53" s="1">
        <v>4.78300055794766</v>
      </c>
      <c r="N53" t="s">
        <v>42</v>
      </c>
      <c r="O53" t="s">
        <v>51</v>
      </c>
      <c r="P53">
        <v>18</v>
      </c>
      <c r="Q53">
        <v>673</v>
      </c>
      <c r="R53">
        <v>28</v>
      </c>
      <c r="S53" s="1">
        <v>14.190328344569901</v>
      </c>
      <c r="T53" t="s">
        <v>28</v>
      </c>
      <c r="U53">
        <v>1.77295117208355</v>
      </c>
      <c r="V53" t="s">
        <v>29</v>
      </c>
      <c r="W53" t="s">
        <v>46</v>
      </c>
      <c r="X53">
        <v>694.98231757944495</v>
      </c>
      <c r="Y53" s="3">
        <f>SUM(Table1[Manufacturing costs],Table1[[#This Row],[Shipping costs]],Table1[[#This Row],[Costs]])</f>
        <v>5426.4346422843792</v>
      </c>
      <c r="Z53" s="1">
        <f>Table1[[#This Row],[Revenue generated]]-Table1[[#This Row],[total cost]]</f>
        <v>4440.0308156953106</v>
      </c>
      <c r="AA53" s="4">
        <f>IFERROR(Table1[[#This Row],[Revenue generated]]-Table1[[#This Row],[total cost]]/Table1[[#This Row],[Revenue generated]], 0)</f>
        <v>9865.9154702799005</v>
      </c>
      <c r="AB53">
        <f>SUM(Table1[[#This Row],[Manufacturing lead time]],Table1[[#This Row],[Shipping times]],Table1[[#This Row],[ supplier_Lead times]])</f>
        <v>33</v>
      </c>
      <c r="AC53" s="2" t="str" cm="1">
        <f t="array" ref="AC53">_xlfn.IFS(Table1[[#This Row],[toal lead time]]&gt;50, "high risk",Table1[[#This Row],[toal lead time]]&gt;=30, "moderate", "true", "optimal")</f>
        <v>moderate</v>
      </c>
    </row>
    <row r="54" spans="1:29" x14ac:dyDescent="0.3">
      <c r="A54" t="s">
        <v>31</v>
      </c>
      <c r="B54" t="s">
        <v>104</v>
      </c>
      <c r="C54" s="1">
        <v>98.031829656465007</v>
      </c>
      <c r="D54">
        <v>1</v>
      </c>
      <c r="E54">
        <v>820</v>
      </c>
      <c r="F54" s="1">
        <v>9435.7626089121295</v>
      </c>
      <c r="G54" t="s">
        <v>53</v>
      </c>
      <c r="H54">
        <v>64</v>
      </c>
      <c r="I54">
        <v>11</v>
      </c>
      <c r="J54">
        <v>11</v>
      </c>
      <c r="K54">
        <v>1</v>
      </c>
      <c r="L54" t="s">
        <v>25</v>
      </c>
      <c r="M54" s="1">
        <v>8.6310521797689397</v>
      </c>
      <c r="N54" t="s">
        <v>37</v>
      </c>
      <c r="O54" t="s">
        <v>27</v>
      </c>
      <c r="P54">
        <v>10</v>
      </c>
      <c r="Q54">
        <v>727</v>
      </c>
      <c r="R54">
        <v>27</v>
      </c>
      <c r="S54" s="1">
        <v>9.1668491485971497</v>
      </c>
      <c r="T54" t="s">
        <v>28</v>
      </c>
      <c r="U54">
        <v>2.1224716191438202</v>
      </c>
      <c r="V54" t="s">
        <v>38</v>
      </c>
      <c r="W54" t="s">
        <v>39</v>
      </c>
      <c r="X54">
        <v>602.89849883838303</v>
      </c>
      <c r="Y54" s="3">
        <f>SUM(Table1[Manufacturing costs],Table1[[#This Row],[Shipping costs]],Table1[[#This Row],[Costs]])</f>
        <v>5338.1988751651379</v>
      </c>
      <c r="Z54" s="1">
        <f>Table1[[#This Row],[Revenue generated]]-Table1[[#This Row],[total cost]]</f>
        <v>4097.5637337469916</v>
      </c>
      <c r="AA54" s="4">
        <f>IFERROR(Table1[[#This Row],[Revenue generated]]-Table1[[#This Row],[total cost]]/Table1[[#This Row],[Revenue generated]], 0)</f>
        <v>9435.196867795441</v>
      </c>
      <c r="AB54">
        <f>SUM(Table1[[#This Row],[Manufacturing lead time]],Table1[[#This Row],[Shipping times]],Table1[[#This Row],[ supplier_Lead times]])</f>
        <v>39</v>
      </c>
      <c r="AC54" s="2" t="str" cm="1">
        <f t="array" ref="AC54">_xlfn.IFS(Table1[[#This Row],[toal lead time]]&gt;50, "high risk",Table1[[#This Row],[toal lead time]]&gt;=30, "moderate", "true", "optimal")</f>
        <v>moderate</v>
      </c>
    </row>
    <row r="55" spans="1:29" x14ac:dyDescent="0.3">
      <c r="A55" t="s">
        <v>31</v>
      </c>
      <c r="B55" t="s">
        <v>105</v>
      </c>
      <c r="C55" s="1">
        <v>30.3414707112142</v>
      </c>
      <c r="D55">
        <v>93</v>
      </c>
      <c r="E55">
        <v>242</v>
      </c>
      <c r="F55" s="1">
        <v>8232.3348294258194</v>
      </c>
      <c r="G55" t="s">
        <v>53</v>
      </c>
      <c r="H55">
        <v>96</v>
      </c>
      <c r="I55">
        <v>25</v>
      </c>
      <c r="J55">
        <v>54</v>
      </c>
      <c r="K55">
        <v>3</v>
      </c>
      <c r="L55" t="s">
        <v>25</v>
      </c>
      <c r="M55" s="1">
        <v>1.0134865660958901</v>
      </c>
      <c r="N55" t="s">
        <v>37</v>
      </c>
      <c r="O55" t="s">
        <v>48</v>
      </c>
      <c r="P55">
        <v>1</v>
      </c>
      <c r="Q55">
        <v>631</v>
      </c>
      <c r="R55">
        <v>17</v>
      </c>
      <c r="S55" s="1">
        <v>83.344058991677898</v>
      </c>
      <c r="T55" t="s">
        <v>28</v>
      </c>
      <c r="U55">
        <v>1.41034757607602</v>
      </c>
      <c r="V55" t="s">
        <v>38</v>
      </c>
      <c r="W55" t="s">
        <v>30</v>
      </c>
      <c r="X55">
        <v>750.73784066827</v>
      </c>
      <c r="Y55" s="3">
        <f>SUM(Table1[Manufacturing costs],Table1[[#This Row],[Shipping costs]],Table1[[#This Row],[Costs]])</f>
        <v>5478.4206513813524</v>
      </c>
      <c r="Z55" s="1">
        <f>Table1[[#This Row],[Revenue generated]]-Table1[[#This Row],[total cost]]</f>
        <v>2753.914178044467</v>
      </c>
      <c r="AA55" s="4">
        <f>IFERROR(Table1[[#This Row],[Revenue generated]]-Table1[[#This Row],[total cost]]/Table1[[#This Row],[Revenue generated]], 0)</f>
        <v>8231.6693534988935</v>
      </c>
      <c r="AB55">
        <f>SUM(Table1[[#This Row],[Manufacturing lead time]],Table1[[#This Row],[Shipping times]],Table1[[#This Row],[ supplier_Lead times]])</f>
        <v>45</v>
      </c>
      <c r="AC55" s="2" t="str" cm="1">
        <f t="array" ref="AC55">_xlfn.IFS(Table1[[#This Row],[toal lead time]]&gt;50, "high risk",Table1[[#This Row],[toal lead time]]&gt;=30, "moderate", "true", "optimal")</f>
        <v>moderate</v>
      </c>
    </row>
    <row r="56" spans="1:29" x14ac:dyDescent="0.3">
      <c r="A56" t="s">
        <v>22</v>
      </c>
      <c r="B56" t="s">
        <v>106</v>
      </c>
      <c r="C56" s="1">
        <v>31.1462431602408</v>
      </c>
      <c r="D56">
        <v>11</v>
      </c>
      <c r="E56">
        <v>622</v>
      </c>
      <c r="F56" s="1">
        <v>6088.0214799408504</v>
      </c>
      <c r="G56" t="s">
        <v>24</v>
      </c>
      <c r="H56">
        <v>33</v>
      </c>
      <c r="I56">
        <v>22</v>
      </c>
      <c r="J56">
        <v>61</v>
      </c>
      <c r="K56">
        <v>3</v>
      </c>
      <c r="L56" t="s">
        <v>25</v>
      </c>
      <c r="M56" s="1">
        <v>4.3051034712876302</v>
      </c>
      <c r="N56" t="s">
        <v>37</v>
      </c>
      <c r="O56" t="s">
        <v>43</v>
      </c>
      <c r="P56">
        <v>26</v>
      </c>
      <c r="Q56">
        <v>497</v>
      </c>
      <c r="R56">
        <v>29</v>
      </c>
      <c r="S56" s="1">
        <v>30.186023375822501</v>
      </c>
      <c r="T56" t="s">
        <v>62</v>
      </c>
      <c r="U56">
        <v>2.4787719755397402</v>
      </c>
      <c r="V56" t="s">
        <v>29</v>
      </c>
      <c r="W56" t="s">
        <v>30</v>
      </c>
      <c r="X56">
        <v>814.06999658218695</v>
      </c>
      <c r="Y56" s="3">
        <f>SUM(Table1[Manufacturing costs],Table1[[#This Row],[Shipping costs]],Table1[[#This Row],[Costs]])</f>
        <v>5545.0444242004614</v>
      </c>
      <c r="Z56" s="1">
        <f>Table1[[#This Row],[Revenue generated]]-Table1[[#This Row],[total cost]]</f>
        <v>542.97705574038901</v>
      </c>
      <c r="AA56" s="4">
        <f>IFERROR(Table1[[#This Row],[Revenue generated]]-Table1[[#This Row],[total cost]]/Table1[[#This Row],[Revenue generated]], 0)</f>
        <v>6087.1106677102316</v>
      </c>
      <c r="AB56">
        <f>SUM(Table1[[#This Row],[Manufacturing lead time]],Table1[[#This Row],[Shipping times]],Table1[[#This Row],[ supplier_Lead times]])</f>
        <v>54</v>
      </c>
      <c r="AC56" s="2" t="str" cm="1">
        <f t="array" ref="AC56">_xlfn.IFS(Table1[[#This Row],[toal lead time]]&gt;50, "high risk",Table1[[#This Row],[toal lead time]]&gt;=30, "moderate", "true", "optimal")</f>
        <v>high risk</v>
      </c>
    </row>
    <row r="57" spans="1:29" x14ac:dyDescent="0.3">
      <c r="A57" t="s">
        <v>22</v>
      </c>
      <c r="B57" t="s">
        <v>107</v>
      </c>
      <c r="C57" s="1">
        <v>79.855058340789398</v>
      </c>
      <c r="D57">
        <v>16</v>
      </c>
      <c r="E57">
        <v>701</v>
      </c>
      <c r="F57" s="1">
        <v>2925.6751703038099</v>
      </c>
      <c r="G57" t="s">
        <v>53</v>
      </c>
      <c r="H57">
        <v>97</v>
      </c>
      <c r="I57">
        <v>11</v>
      </c>
      <c r="J57">
        <v>11</v>
      </c>
      <c r="K57">
        <v>5</v>
      </c>
      <c r="L57" t="s">
        <v>34</v>
      </c>
      <c r="M57" s="1">
        <v>5.0143649550309002</v>
      </c>
      <c r="N57" t="s">
        <v>59</v>
      </c>
      <c r="O57" t="s">
        <v>48</v>
      </c>
      <c r="P57">
        <v>27</v>
      </c>
      <c r="Q57">
        <v>918</v>
      </c>
      <c r="R57">
        <v>5</v>
      </c>
      <c r="S57" s="1">
        <v>30.323545256616502</v>
      </c>
      <c r="T57" t="s">
        <v>44</v>
      </c>
      <c r="U57">
        <v>4.5489196593963799</v>
      </c>
      <c r="V57" t="s">
        <v>54</v>
      </c>
      <c r="W57" t="s">
        <v>30</v>
      </c>
      <c r="X57">
        <v>323.01292795247798</v>
      </c>
      <c r="Y57" s="3">
        <f>SUM(Table1[Manufacturing costs],Table1[[#This Row],[Shipping costs]],Table1[[#This Row],[Costs]])</f>
        <v>5054.6966170544956</v>
      </c>
      <c r="Z57" s="1">
        <f>Table1[[#This Row],[Revenue generated]]-Table1[[#This Row],[total cost]]</f>
        <v>-2129.0214467506858</v>
      </c>
      <c r="AA57" s="4">
        <f>IFERROR(Table1[[#This Row],[Revenue generated]]-Table1[[#This Row],[total cost]]/Table1[[#This Row],[Revenue generated]], 0)</f>
        <v>2923.9474676974642</v>
      </c>
      <c r="AB57">
        <f>SUM(Table1[[#This Row],[Manufacturing lead time]],Table1[[#This Row],[Shipping times]],Table1[[#This Row],[ supplier_Lead times]])</f>
        <v>21</v>
      </c>
      <c r="AC57" s="2" t="str" cm="1">
        <f t="array" ref="AC57">_xlfn.IFS(Table1[[#This Row],[toal lead time]]&gt;50, "high risk",Table1[[#This Row],[toal lead time]]&gt;=30, "moderate", "true", "optimal")</f>
        <v>optimal</v>
      </c>
    </row>
    <row r="58" spans="1:29" x14ac:dyDescent="0.3">
      <c r="A58" t="s">
        <v>31</v>
      </c>
      <c r="B58" t="s">
        <v>108</v>
      </c>
      <c r="C58" s="1">
        <v>20.9863860370433</v>
      </c>
      <c r="D58">
        <v>90</v>
      </c>
      <c r="E58">
        <v>93</v>
      </c>
      <c r="F58" s="1">
        <v>4767.0204843441297</v>
      </c>
      <c r="G58" t="s">
        <v>24</v>
      </c>
      <c r="H58">
        <v>25</v>
      </c>
      <c r="I58">
        <v>23</v>
      </c>
      <c r="J58">
        <v>83</v>
      </c>
      <c r="K58">
        <v>5</v>
      </c>
      <c r="L58" t="s">
        <v>41</v>
      </c>
      <c r="M58" s="1">
        <v>1.77442971407173</v>
      </c>
      <c r="N58" t="s">
        <v>37</v>
      </c>
      <c r="O58" t="s">
        <v>27</v>
      </c>
      <c r="P58">
        <v>24</v>
      </c>
      <c r="Q58">
        <v>826</v>
      </c>
      <c r="R58">
        <v>28</v>
      </c>
      <c r="S58" s="1">
        <v>12.8362845728327</v>
      </c>
      <c r="T58" t="s">
        <v>62</v>
      </c>
      <c r="U58">
        <v>1.1737554953874501</v>
      </c>
      <c r="V58" t="s">
        <v>38</v>
      </c>
      <c r="W58" t="s">
        <v>30</v>
      </c>
      <c r="X58">
        <v>832.210808706021</v>
      </c>
      <c r="Y58" s="3">
        <f>SUM(Table1[Manufacturing costs],Table1[[#This Row],[Shipping costs]],Table1[[#This Row],[Costs]])</f>
        <v>5560.6545625670788</v>
      </c>
      <c r="Z58" s="1">
        <f>Table1[[#This Row],[Revenue generated]]-Table1[[#This Row],[total cost]]</f>
        <v>-793.63407822294903</v>
      </c>
      <c r="AA58" s="4">
        <f>IFERROR(Table1[[#This Row],[Revenue generated]]-Table1[[#This Row],[total cost]]/Table1[[#This Row],[Revenue generated]], 0)</f>
        <v>4765.8540000420735</v>
      </c>
      <c r="AB58">
        <f>SUM(Table1[[#This Row],[Manufacturing lead time]],Table1[[#This Row],[Shipping times]],Table1[[#This Row],[ supplier_Lead times]])</f>
        <v>56</v>
      </c>
      <c r="AC58" s="2" t="str" cm="1">
        <f t="array" ref="AC58">_xlfn.IFS(Table1[[#This Row],[toal lead time]]&gt;50, "high risk",Table1[[#This Row],[toal lead time]]&gt;=30, "moderate", "true", "optimal")</f>
        <v>high risk</v>
      </c>
    </row>
    <row r="59" spans="1:29" x14ac:dyDescent="0.3">
      <c r="A59" t="s">
        <v>22</v>
      </c>
      <c r="B59" t="s">
        <v>109</v>
      </c>
      <c r="C59" s="1">
        <v>49.263205350734097</v>
      </c>
      <c r="D59">
        <v>65</v>
      </c>
      <c r="E59">
        <v>227</v>
      </c>
      <c r="F59" s="1">
        <v>1605.8669003924001</v>
      </c>
      <c r="G59" t="s">
        <v>36</v>
      </c>
      <c r="H59">
        <v>5</v>
      </c>
      <c r="I59">
        <v>18</v>
      </c>
      <c r="J59">
        <v>51</v>
      </c>
      <c r="K59">
        <v>1</v>
      </c>
      <c r="L59" t="s">
        <v>25</v>
      </c>
      <c r="M59" s="1">
        <v>9.1605585353818704</v>
      </c>
      <c r="N59" t="s">
        <v>59</v>
      </c>
      <c r="O59" t="s">
        <v>48</v>
      </c>
      <c r="P59">
        <v>21</v>
      </c>
      <c r="Q59">
        <v>588</v>
      </c>
      <c r="R59">
        <v>25</v>
      </c>
      <c r="S59" s="1">
        <v>67.779622987078099</v>
      </c>
      <c r="T59" t="s">
        <v>28</v>
      </c>
      <c r="U59">
        <v>2.5111748302126999</v>
      </c>
      <c r="V59" t="s">
        <v>45</v>
      </c>
      <c r="W59" t="s">
        <v>46</v>
      </c>
      <c r="X59">
        <v>482.19123860252802</v>
      </c>
      <c r="Y59" s="3">
        <f>SUM(Table1[Manufacturing costs],Table1[[#This Row],[Shipping costs]],Table1[[#This Row],[Costs]])</f>
        <v>5218.0211212848963</v>
      </c>
      <c r="Z59" s="1">
        <f>Table1[[#This Row],[Revenue generated]]-Table1[[#This Row],[total cost]]</f>
        <v>-3612.1542208924961</v>
      </c>
      <c r="AA59" s="4">
        <f>IFERROR(Table1[[#This Row],[Revenue generated]]-Table1[[#This Row],[total cost]]/Table1[[#This Row],[Revenue generated]], 0)</f>
        <v>1602.6175519439018</v>
      </c>
      <c r="AB59">
        <f>SUM(Table1[[#This Row],[Manufacturing lead time]],Table1[[#This Row],[Shipping times]],Table1[[#This Row],[ supplier_Lead times]])</f>
        <v>44</v>
      </c>
      <c r="AC59" s="2" t="str" cm="1">
        <f t="array" ref="AC59">_xlfn.IFS(Table1[[#This Row],[toal lead time]]&gt;50, "high risk",Table1[[#This Row],[toal lead time]]&gt;=30, "moderate", "true", "optimal")</f>
        <v>moderate</v>
      </c>
    </row>
    <row r="60" spans="1:29" x14ac:dyDescent="0.3">
      <c r="A60" t="s">
        <v>31</v>
      </c>
      <c r="B60" t="s">
        <v>110</v>
      </c>
      <c r="C60" s="1">
        <v>59.841561377289302</v>
      </c>
      <c r="D60">
        <v>81</v>
      </c>
      <c r="E60">
        <v>896</v>
      </c>
      <c r="F60" s="1">
        <v>2021.1498103371</v>
      </c>
      <c r="G60" t="s">
        <v>24</v>
      </c>
      <c r="H60">
        <v>10</v>
      </c>
      <c r="I60">
        <v>5</v>
      </c>
      <c r="J60">
        <v>44</v>
      </c>
      <c r="K60">
        <v>7</v>
      </c>
      <c r="L60" t="s">
        <v>34</v>
      </c>
      <c r="M60" s="1">
        <v>4.9384385647120901</v>
      </c>
      <c r="N60" t="s">
        <v>26</v>
      </c>
      <c r="O60" t="s">
        <v>48</v>
      </c>
      <c r="P60">
        <v>18</v>
      </c>
      <c r="Q60">
        <v>396</v>
      </c>
      <c r="R60">
        <v>7</v>
      </c>
      <c r="S60" s="1">
        <v>65.047415094691402</v>
      </c>
      <c r="T60" t="s">
        <v>44</v>
      </c>
      <c r="U60">
        <v>1.7303747198591899</v>
      </c>
      <c r="V60" t="s">
        <v>29</v>
      </c>
      <c r="W60" t="s">
        <v>30</v>
      </c>
      <c r="X60">
        <v>110.364335231364</v>
      </c>
      <c r="Y60" s="3">
        <f>SUM(Table1[Manufacturing costs],Table1[[#This Row],[Shipping costs]],Table1[[#This Row],[Costs]])</f>
        <v>4841.9720979430622</v>
      </c>
      <c r="Z60" s="1">
        <f>Table1[[#This Row],[Revenue generated]]-Table1[[#This Row],[total cost]]</f>
        <v>-2820.8222876059622</v>
      </c>
      <c r="AA60" s="4">
        <f>IFERROR(Table1[[#This Row],[Revenue generated]]-Table1[[#This Row],[total cost]]/Table1[[#This Row],[Revenue generated]], 0)</f>
        <v>2018.7541580835268</v>
      </c>
      <c r="AB60">
        <f>SUM(Table1[[#This Row],[Manufacturing lead time]],Table1[[#This Row],[Shipping times]],Table1[[#This Row],[ supplier_Lead times]])</f>
        <v>19</v>
      </c>
      <c r="AC60" s="2" t="str" cm="1">
        <f t="array" ref="AC60">_xlfn.IFS(Table1[[#This Row],[toal lead time]]&gt;50, "high risk",Table1[[#This Row],[toal lead time]]&gt;=30, "moderate", "true", "optimal")</f>
        <v>optimal</v>
      </c>
    </row>
    <row r="61" spans="1:29" x14ac:dyDescent="0.3">
      <c r="A61" t="s">
        <v>55</v>
      </c>
      <c r="B61" t="s">
        <v>111</v>
      </c>
      <c r="C61" s="1">
        <v>63.828398347710902</v>
      </c>
      <c r="D61">
        <v>30</v>
      </c>
      <c r="E61">
        <v>484</v>
      </c>
      <c r="F61" s="1">
        <v>1061.6185230132801</v>
      </c>
      <c r="G61" t="s">
        <v>24</v>
      </c>
      <c r="H61">
        <v>100</v>
      </c>
      <c r="I61">
        <v>16</v>
      </c>
      <c r="J61">
        <v>26</v>
      </c>
      <c r="K61">
        <v>7</v>
      </c>
      <c r="L61" t="s">
        <v>25</v>
      </c>
      <c r="M61" s="1">
        <v>7.2937225968677204</v>
      </c>
      <c r="N61" t="s">
        <v>37</v>
      </c>
      <c r="O61" t="s">
        <v>43</v>
      </c>
      <c r="P61">
        <v>11</v>
      </c>
      <c r="Q61">
        <v>176</v>
      </c>
      <c r="R61">
        <v>4</v>
      </c>
      <c r="S61" s="1">
        <v>1.90076224351945</v>
      </c>
      <c r="T61" t="s">
        <v>44</v>
      </c>
      <c r="U61">
        <v>0.44719401546382298</v>
      </c>
      <c r="V61" t="s">
        <v>38</v>
      </c>
      <c r="W61" t="s">
        <v>46</v>
      </c>
      <c r="X61">
        <v>312.57427361009297</v>
      </c>
      <c r="Y61" s="3">
        <f>SUM(Table1[Manufacturing costs],Table1[[#This Row],[Shipping costs]],Table1[[#This Row],[Costs]])</f>
        <v>5046.5373203539475</v>
      </c>
      <c r="Z61" s="1">
        <f>Table1[[#This Row],[Revenue generated]]-Table1[[#This Row],[total cost]]</f>
        <v>-3984.9187973406674</v>
      </c>
      <c r="AA61" s="4">
        <f>IFERROR(Table1[[#This Row],[Revenue generated]]-Table1[[#This Row],[total cost]]/Table1[[#This Row],[Revenue generated]], 0)</f>
        <v>1056.8648971006219</v>
      </c>
      <c r="AB61">
        <f>SUM(Table1[[#This Row],[Manufacturing lead time]],Table1[[#This Row],[Shipping times]],Table1[[#This Row],[ supplier_Lead times]])</f>
        <v>27</v>
      </c>
      <c r="AC61" s="2" t="str" cm="1">
        <f t="array" ref="AC61">_xlfn.IFS(Table1[[#This Row],[toal lead time]]&gt;50, "high risk",Table1[[#This Row],[toal lead time]]&gt;=30, "moderate", "true", "optimal")</f>
        <v>optimal</v>
      </c>
    </row>
    <row r="62" spans="1:29" x14ac:dyDescent="0.3">
      <c r="A62" t="s">
        <v>31</v>
      </c>
      <c r="B62" t="s">
        <v>112</v>
      </c>
      <c r="C62" s="1">
        <v>17.028027920188698</v>
      </c>
      <c r="D62">
        <v>16</v>
      </c>
      <c r="E62">
        <v>380</v>
      </c>
      <c r="F62" s="1">
        <v>8864.0843495864301</v>
      </c>
      <c r="G62" t="s">
        <v>33</v>
      </c>
      <c r="H62">
        <v>41</v>
      </c>
      <c r="I62">
        <v>27</v>
      </c>
      <c r="J62">
        <v>72</v>
      </c>
      <c r="K62">
        <v>8</v>
      </c>
      <c r="L62" t="s">
        <v>41</v>
      </c>
      <c r="M62" s="1">
        <v>4.3813681581023101</v>
      </c>
      <c r="N62" t="s">
        <v>50</v>
      </c>
      <c r="O62" t="s">
        <v>27</v>
      </c>
      <c r="P62">
        <v>29</v>
      </c>
      <c r="Q62">
        <v>929</v>
      </c>
      <c r="R62">
        <v>24</v>
      </c>
      <c r="S62" s="1">
        <v>87.213057815135599</v>
      </c>
      <c r="T62" t="s">
        <v>44</v>
      </c>
      <c r="U62">
        <v>2.8530906166490499</v>
      </c>
      <c r="V62" t="s">
        <v>45</v>
      </c>
      <c r="W62" t="s">
        <v>46</v>
      </c>
      <c r="X62">
        <v>430.16909697513597</v>
      </c>
      <c r="Y62" s="3">
        <f>SUM(Table1[Manufacturing costs],Table1[[#This Row],[Shipping costs]],Table1[[#This Row],[Costs]])</f>
        <v>5161.2197892802251</v>
      </c>
      <c r="Z62" s="1">
        <f>Table1[[#This Row],[Revenue generated]]-Table1[[#This Row],[total cost]]</f>
        <v>3702.864560306205</v>
      </c>
      <c r="AA62" s="4">
        <f>IFERROR(Table1[[#This Row],[Revenue generated]]-Table1[[#This Row],[total cost]]/Table1[[#This Row],[Revenue generated]], 0)</f>
        <v>8863.5020875517148</v>
      </c>
      <c r="AB62">
        <f>SUM(Table1[[#This Row],[Manufacturing lead time]],Table1[[#This Row],[Shipping times]],Table1[[#This Row],[ supplier_Lead times]])</f>
        <v>59</v>
      </c>
      <c r="AC62" s="2" t="str" cm="1">
        <f t="array" ref="AC62">_xlfn.IFS(Table1[[#This Row],[toal lead time]]&gt;50, "high risk",Table1[[#This Row],[toal lead time]]&gt;=30, "moderate", "true", "optimal")</f>
        <v>high risk</v>
      </c>
    </row>
    <row r="63" spans="1:29" x14ac:dyDescent="0.3">
      <c r="A63" t="s">
        <v>22</v>
      </c>
      <c r="B63" t="s">
        <v>113</v>
      </c>
      <c r="C63" s="1">
        <v>52.028749903294901</v>
      </c>
      <c r="D63">
        <v>23</v>
      </c>
      <c r="E63">
        <v>117</v>
      </c>
      <c r="F63" s="1">
        <v>6885.5893508962499</v>
      </c>
      <c r="G63" t="s">
        <v>36</v>
      </c>
      <c r="H63">
        <v>32</v>
      </c>
      <c r="I63">
        <v>23</v>
      </c>
      <c r="J63">
        <v>36</v>
      </c>
      <c r="K63">
        <v>7</v>
      </c>
      <c r="L63" t="s">
        <v>41</v>
      </c>
      <c r="M63" s="1">
        <v>9.0303404225219399</v>
      </c>
      <c r="N63" t="s">
        <v>50</v>
      </c>
      <c r="O63" t="s">
        <v>43</v>
      </c>
      <c r="P63">
        <v>14</v>
      </c>
      <c r="Q63">
        <v>480</v>
      </c>
      <c r="R63">
        <v>12</v>
      </c>
      <c r="S63" s="1">
        <v>78.702393968878894</v>
      </c>
      <c r="T63" t="s">
        <v>44</v>
      </c>
      <c r="U63">
        <v>4.3674705382050503</v>
      </c>
      <c r="V63" t="s">
        <v>38</v>
      </c>
      <c r="W63" t="s">
        <v>46</v>
      </c>
      <c r="X63">
        <v>164.366528243419</v>
      </c>
      <c r="Y63" s="3">
        <f>SUM(Table1[Manufacturing costs],Table1[[#This Row],[Shipping costs]],Table1[[#This Row],[Costs]])</f>
        <v>4900.0661928129284</v>
      </c>
      <c r="Z63" s="1">
        <f>Table1[[#This Row],[Revenue generated]]-Table1[[#This Row],[total cost]]</f>
        <v>1985.5231580833215</v>
      </c>
      <c r="AA63" s="4">
        <f>IFERROR(Table1[[#This Row],[Revenue generated]]-Table1[[#This Row],[total cost]]/Table1[[#This Row],[Revenue generated]], 0)</f>
        <v>6884.8777101138712</v>
      </c>
      <c r="AB63">
        <f>SUM(Table1[[#This Row],[Manufacturing lead time]],Table1[[#This Row],[Shipping times]],Table1[[#This Row],[ supplier_Lead times]])</f>
        <v>42</v>
      </c>
      <c r="AC63" s="2" t="str" cm="1">
        <f t="array" ref="AC63">_xlfn.IFS(Table1[[#This Row],[toal lead time]]&gt;50, "high risk",Table1[[#This Row],[toal lead time]]&gt;=30, "moderate", "true", "optimal")</f>
        <v>moderate</v>
      </c>
    </row>
    <row r="64" spans="1:29" x14ac:dyDescent="0.3">
      <c r="A64" t="s">
        <v>55</v>
      </c>
      <c r="B64" t="s">
        <v>114</v>
      </c>
      <c r="C64" s="1">
        <v>72.796353955587307</v>
      </c>
      <c r="D64">
        <v>89</v>
      </c>
      <c r="E64">
        <v>270</v>
      </c>
      <c r="F64" s="1">
        <v>3899.7468337292198</v>
      </c>
      <c r="G64" t="s">
        <v>36</v>
      </c>
      <c r="H64">
        <v>86</v>
      </c>
      <c r="I64">
        <v>2</v>
      </c>
      <c r="J64">
        <v>40</v>
      </c>
      <c r="K64">
        <v>7</v>
      </c>
      <c r="L64" t="s">
        <v>41</v>
      </c>
      <c r="M64" s="1">
        <v>7.2917013887767697</v>
      </c>
      <c r="N64" t="s">
        <v>59</v>
      </c>
      <c r="O64" t="s">
        <v>27</v>
      </c>
      <c r="P64">
        <v>13</v>
      </c>
      <c r="Q64">
        <v>751</v>
      </c>
      <c r="R64">
        <v>14</v>
      </c>
      <c r="S64" s="1">
        <v>21.048642725168602</v>
      </c>
      <c r="T64" t="s">
        <v>62</v>
      </c>
      <c r="U64">
        <v>1.87400140404437</v>
      </c>
      <c r="V64" t="s">
        <v>54</v>
      </c>
      <c r="W64" t="s">
        <v>39</v>
      </c>
      <c r="X64">
        <v>320.84651575911101</v>
      </c>
      <c r="Y64" s="3">
        <f>SUM(Table1[Manufacturing costs],Table1[[#This Row],[Shipping costs]],Table1[[#This Row],[Costs]])</f>
        <v>5054.8075412948738</v>
      </c>
      <c r="Z64" s="1">
        <f>Table1[[#This Row],[Revenue generated]]-Table1[[#This Row],[total cost]]</f>
        <v>-1155.060707565654</v>
      </c>
      <c r="AA64" s="4">
        <f>IFERROR(Table1[[#This Row],[Revenue generated]]-Table1[[#This Row],[total cost]]/Table1[[#This Row],[Revenue generated]], 0)</f>
        <v>3898.4506450901072</v>
      </c>
      <c r="AB64">
        <f>SUM(Table1[[#This Row],[Manufacturing lead time]],Table1[[#This Row],[Shipping times]],Table1[[#This Row],[ supplier_Lead times]])</f>
        <v>23</v>
      </c>
      <c r="AC64" s="2" t="str" cm="1">
        <f t="array" ref="AC64">_xlfn.IFS(Table1[[#This Row],[toal lead time]]&gt;50, "high risk",Table1[[#This Row],[toal lead time]]&gt;=30, "moderate", "true", "optimal")</f>
        <v>optimal</v>
      </c>
    </row>
    <row r="65" spans="1:29" x14ac:dyDescent="0.3">
      <c r="A65" t="s">
        <v>31</v>
      </c>
      <c r="B65" t="s">
        <v>115</v>
      </c>
      <c r="C65" s="1">
        <v>13.0173767852878</v>
      </c>
      <c r="D65">
        <v>55</v>
      </c>
      <c r="E65">
        <v>246</v>
      </c>
      <c r="F65" s="1">
        <v>4256.9491408502199</v>
      </c>
      <c r="G65" t="s">
        <v>24</v>
      </c>
      <c r="H65">
        <v>54</v>
      </c>
      <c r="I65">
        <v>19</v>
      </c>
      <c r="J65">
        <v>10</v>
      </c>
      <c r="K65">
        <v>4</v>
      </c>
      <c r="L65" t="s">
        <v>34</v>
      </c>
      <c r="M65" s="1">
        <v>2.45793352798733</v>
      </c>
      <c r="N65" t="s">
        <v>26</v>
      </c>
      <c r="O65" t="s">
        <v>51</v>
      </c>
      <c r="P65">
        <v>18</v>
      </c>
      <c r="Q65">
        <v>736</v>
      </c>
      <c r="R65">
        <v>10</v>
      </c>
      <c r="S65" s="1">
        <v>20.075003975630398</v>
      </c>
      <c r="T65" t="s">
        <v>28</v>
      </c>
      <c r="U65">
        <v>3.6328432903821302</v>
      </c>
      <c r="V65" t="s">
        <v>54</v>
      </c>
      <c r="W65" t="s">
        <v>46</v>
      </c>
      <c r="X65">
        <v>687.28617786641701</v>
      </c>
      <c r="Y65" s="3">
        <f>SUM(Table1[Manufacturing costs],Table1[[#This Row],[Shipping costs]],Table1[[#This Row],[Costs]])</f>
        <v>5416.4134355413917</v>
      </c>
      <c r="Z65" s="1">
        <f>Table1[[#This Row],[Revenue generated]]-Table1[[#This Row],[total cost]]</f>
        <v>-1159.4642946911717</v>
      </c>
      <c r="AA65" s="4">
        <f>IFERROR(Table1[[#This Row],[Revenue generated]]-Table1[[#This Row],[total cost]]/Table1[[#This Row],[Revenue generated]], 0)</f>
        <v>4255.676771071694</v>
      </c>
      <c r="AB65">
        <f>SUM(Table1[[#This Row],[Manufacturing lead time]],Table1[[#This Row],[Shipping times]],Table1[[#This Row],[ supplier_Lead times]])</f>
        <v>33</v>
      </c>
      <c r="AC65" s="2" t="str" cm="1">
        <f t="array" ref="AC65">_xlfn.IFS(Table1[[#This Row],[toal lead time]]&gt;50, "high risk",Table1[[#This Row],[toal lead time]]&gt;=30, "moderate", "true", "optimal")</f>
        <v>moderate</v>
      </c>
    </row>
    <row r="66" spans="1:29" x14ac:dyDescent="0.3">
      <c r="A66" t="s">
        <v>31</v>
      </c>
      <c r="B66" t="s">
        <v>116</v>
      </c>
      <c r="C66" s="1">
        <v>89.634095608135297</v>
      </c>
      <c r="D66">
        <v>11</v>
      </c>
      <c r="E66">
        <v>134</v>
      </c>
      <c r="F66" s="1">
        <v>8458.7308783671706</v>
      </c>
      <c r="G66" t="s">
        <v>33</v>
      </c>
      <c r="H66">
        <v>73</v>
      </c>
      <c r="I66">
        <v>27</v>
      </c>
      <c r="J66">
        <v>75</v>
      </c>
      <c r="K66">
        <v>6</v>
      </c>
      <c r="L66" t="s">
        <v>41</v>
      </c>
      <c r="M66" s="1">
        <v>4.5853534681946497</v>
      </c>
      <c r="N66" t="s">
        <v>37</v>
      </c>
      <c r="O66" t="s">
        <v>48</v>
      </c>
      <c r="P66">
        <v>17</v>
      </c>
      <c r="Q66">
        <v>328</v>
      </c>
      <c r="R66">
        <v>6</v>
      </c>
      <c r="S66" s="1">
        <v>8.6930424258772803</v>
      </c>
      <c r="T66" t="s">
        <v>44</v>
      </c>
      <c r="U66">
        <v>0.15948631471751401</v>
      </c>
      <c r="V66" t="s">
        <v>38</v>
      </c>
      <c r="W66" t="s">
        <v>39</v>
      </c>
      <c r="X66">
        <v>771.225084681157</v>
      </c>
      <c r="Y66" s="3">
        <f>SUM(Table1[Manufacturing costs],Table1[[#This Row],[Shipping costs]],Table1[[#This Row],[Costs]])</f>
        <v>5502.4797622963379</v>
      </c>
      <c r="Z66" s="1">
        <f>Table1[[#This Row],[Revenue generated]]-Table1[[#This Row],[total cost]]</f>
        <v>2956.2511160708327</v>
      </c>
      <c r="AA66" s="4">
        <f>IFERROR(Table1[[#This Row],[Revenue generated]]-Table1[[#This Row],[total cost]]/Table1[[#This Row],[Revenue generated]], 0)</f>
        <v>8458.0803694620627</v>
      </c>
      <c r="AB66">
        <f>SUM(Table1[[#This Row],[Manufacturing lead time]],Table1[[#This Row],[Shipping times]],Table1[[#This Row],[ supplier_Lead times]])</f>
        <v>39</v>
      </c>
      <c r="AC66" s="2" t="str" cm="1">
        <f t="array" ref="AC66">_xlfn.IFS(Table1[[#This Row],[toal lead time]]&gt;50, "high risk",Table1[[#This Row],[toal lead time]]&gt;=30, "moderate", "true", "optimal")</f>
        <v>moderate</v>
      </c>
    </row>
    <row r="67" spans="1:29" x14ac:dyDescent="0.3">
      <c r="A67" t="s">
        <v>31</v>
      </c>
      <c r="B67" t="s">
        <v>117</v>
      </c>
      <c r="C67" s="1">
        <v>33.697717206643098</v>
      </c>
      <c r="D67">
        <v>72</v>
      </c>
      <c r="E67">
        <v>457</v>
      </c>
      <c r="F67" s="1">
        <v>8354.5796864819895</v>
      </c>
      <c r="G67" t="s">
        <v>53</v>
      </c>
      <c r="H67">
        <v>57</v>
      </c>
      <c r="I67">
        <v>24</v>
      </c>
      <c r="J67">
        <v>54</v>
      </c>
      <c r="K67">
        <v>8</v>
      </c>
      <c r="L67" t="s">
        <v>41</v>
      </c>
      <c r="M67" s="1">
        <v>6.5805413478845898</v>
      </c>
      <c r="N67" t="s">
        <v>42</v>
      </c>
      <c r="O67" t="s">
        <v>43</v>
      </c>
      <c r="P67">
        <v>16</v>
      </c>
      <c r="Q67">
        <v>358</v>
      </c>
      <c r="R67">
        <v>21</v>
      </c>
      <c r="S67" s="1">
        <v>1.59722274305067</v>
      </c>
      <c r="T67" t="s">
        <v>44</v>
      </c>
      <c r="U67">
        <v>4.9110959548423301</v>
      </c>
      <c r="V67" t="s">
        <v>45</v>
      </c>
      <c r="W67" t="s">
        <v>39</v>
      </c>
      <c r="X67">
        <v>555.85910367174301</v>
      </c>
      <c r="Y67" s="3">
        <f>SUM(Table1[Manufacturing costs],Table1[[#This Row],[Shipping costs]],Table1[[#This Row],[Costs]])</f>
        <v>5289.1089691666148</v>
      </c>
      <c r="Z67" s="1">
        <f>Table1[[#This Row],[Revenue generated]]-Table1[[#This Row],[total cost]]</f>
        <v>3065.4707173153747</v>
      </c>
      <c r="AA67" s="4">
        <f>IFERROR(Table1[[#This Row],[Revenue generated]]-Table1[[#This Row],[total cost]]/Table1[[#This Row],[Revenue generated]], 0)</f>
        <v>8353.9466074800948</v>
      </c>
      <c r="AB67">
        <f>SUM(Table1[[#This Row],[Manufacturing lead time]],Table1[[#This Row],[Shipping times]],Table1[[#This Row],[ supplier_Lead times]])</f>
        <v>53</v>
      </c>
      <c r="AC67" s="2" t="str" cm="1">
        <f t="array" ref="AC67">_xlfn.IFS(Table1[[#This Row],[toal lead time]]&gt;50, "high risk",Table1[[#This Row],[toal lead time]]&gt;=30, "moderate", "true", "optimal")</f>
        <v>high risk</v>
      </c>
    </row>
    <row r="68" spans="1:29" x14ac:dyDescent="0.3">
      <c r="A68" t="s">
        <v>31</v>
      </c>
      <c r="B68" t="s">
        <v>118</v>
      </c>
      <c r="C68" s="1">
        <v>26.034869773962001</v>
      </c>
      <c r="D68">
        <v>52</v>
      </c>
      <c r="E68">
        <v>704</v>
      </c>
      <c r="F68" s="1">
        <v>8367.7216180201503</v>
      </c>
      <c r="G68" t="s">
        <v>33</v>
      </c>
      <c r="H68">
        <v>13</v>
      </c>
      <c r="I68">
        <v>17</v>
      </c>
      <c r="J68">
        <v>19</v>
      </c>
      <c r="K68">
        <v>8</v>
      </c>
      <c r="L68" t="s">
        <v>34</v>
      </c>
      <c r="M68" s="1">
        <v>2.2161427287713602</v>
      </c>
      <c r="N68" t="s">
        <v>42</v>
      </c>
      <c r="O68" t="s">
        <v>43</v>
      </c>
      <c r="P68">
        <v>24</v>
      </c>
      <c r="Q68">
        <v>867</v>
      </c>
      <c r="R68">
        <v>28</v>
      </c>
      <c r="S68" s="1">
        <v>42.084436738309897</v>
      </c>
      <c r="T68" t="s">
        <v>44</v>
      </c>
      <c r="U68">
        <v>3.44806328834026</v>
      </c>
      <c r="V68" t="s">
        <v>29</v>
      </c>
      <c r="W68" t="s">
        <v>46</v>
      </c>
      <c r="X68">
        <v>393.84334857842703</v>
      </c>
      <c r="Y68" s="3">
        <f>SUM(Table1[Manufacturing costs],Table1[[#This Row],[Shipping costs]],Table1[[#This Row],[Costs]])</f>
        <v>5122.7288154541848</v>
      </c>
      <c r="Z68" s="1">
        <f>Table1[[#This Row],[Revenue generated]]-Table1[[#This Row],[total cost]]</f>
        <v>3244.9928025659656</v>
      </c>
      <c r="AA68" s="4">
        <f>IFERROR(Table1[[#This Row],[Revenue generated]]-Table1[[#This Row],[total cost]]/Table1[[#This Row],[Revenue generated]], 0)</f>
        <v>8367.1094168679974</v>
      </c>
      <c r="AB68">
        <f>SUM(Table1[[#This Row],[Manufacturing lead time]],Table1[[#This Row],[Shipping times]],Table1[[#This Row],[ supplier_Lead times]])</f>
        <v>53</v>
      </c>
      <c r="AC68" s="2" t="str" cm="1">
        <f t="array" ref="AC68">_xlfn.IFS(Table1[[#This Row],[toal lead time]]&gt;50, "high risk",Table1[[#This Row],[toal lead time]]&gt;=30, "moderate", "true", "optimal")</f>
        <v>high risk</v>
      </c>
    </row>
    <row r="69" spans="1:29" x14ac:dyDescent="0.3">
      <c r="A69" t="s">
        <v>31</v>
      </c>
      <c r="B69" t="s">
        <v>119</v>
      </c>
      <c r="C69" s="1">
        <v>87.755432354001002</v>
      </c>
      <c r="D69">
        <v>16</v>
      </c>
      <c r="E69">
        <v>513</v>
      </c>
      <c r="F69" s="1">
        <v>9473.7980325083299</v>
      </c>
      <c r="G69" t="s">
        <v>36</v>
      </c>
      <c r="H69">
        <v>12</v>
      </c>
      <c r="I69">
        <v>9</v>
      </c>
      <c r="J69">
        <v>71</v>
      </c>
      <c r="K69">
        <v>9</v>
      </c>
      <c r="L69" t="s">
        <v>41</v>
      </c>
      <c r="M69" s="1">
        <v>9.1478115447106294</v>
      </c>
      <c r="N69" t="s">
        <v>37</v>
      </c>
      <c r="O69" t="s">
        <v>27</v>
      </c>
      <c r="P69">
        <v>10</v>
      </c>
      <c r="Q69">
        <v>198</v>
      </c>
      <c r="R69">
        <v>11</v>
      </c>
      <c r="S69" s="1">
        <v>7.0578761469782298</v>
      </c>
      <c r="T69" t="s">
        <v>62</v>
      </c>
      <c r="U69">
        <v>0.131955444311814</v>
      </c>
      <c r="V69" t="s">
        <v>54</v>
      </c>
      <c r="W69" t="s">
        <v>39</v>
      </c>
      <c r="X69">
        <v>169.27180138478599</v>
      </c>
      <c r="Y69" s="3">
        <f>SUM(Table1[Manufacturing costs],Table1[[#This Row],[Shipping costs]],Table1[[#This Row],[Costs]])</f>
        <v>4905.0889370764835</v>
      </c>
      <c r="Z69" s="1">
        <f>Table1[[#This Row],[Revenue generated]]-Table1[[#This Row],[total cost]]</f>
        <v>4568.7090954318464</v>
      </c>
      <c r="AA69" s="4">
        <f>IFERROR(Table1[[#This Row],[Revenue generated]]-Table1[[#This Row],[total cost]]/Table1[[#This Row],[Revenue generated]], 0)</f>
        <v>9473.2802793410956</v>
      </c>
      <c r="AB69">
        <f>SUM(Table1[[#This Row],[Manufacturing lead time]],Table1[[#This Row],[Shipping times]],Table1[[#This Row],[ supplier_Lead times]])</f>
        <v>29</v>
      </c>
      <c r="AC69" s="2" t="str" cm="1">
        <f t="array" ref="AC69">_xlfn.IFS(Table1[[#This Row],[toal lead time]]&gt;50, "high risk",Table1[[#This Row],[toal lead time]]&gt;=30, "moderate", "true", "optimal")</f>
        <v>optimal</v>
      </c>
    </row>
    <row r="70" spans="1:29" x14ac:dyDescent="0.3">
      <c r="A70" t="s">
        <v>22</v>
      </c>
      <c r="B70" t="s">
        <v>120</v>
      </c>
      <c r="C70" s="1">
        <v>37.931812382790298</v>
      </c>
      <c r="D70">
        <v>29</v>
      </c>
      <c r="E70">
        <v>163</v>
      </c>
      <c r="F70" s="1">
        <v>3550.21843278099</v>
      </c>
      <c r="G70" t="s">
        <v>24</v>
      </c>
      <c r="H70">
        <v>0</v>
      </c>
      <c r="I70">
        <v>8</v>
      </c>
      <c r="J70">
        <v>58</v>
      </c>
      <c r="K70">
        <v>8</v>
      </c>
      <c r="L70" t="s">
        <v>25</v>
      </c>
      <c r="M70" s="1">
        <v>1.19425186488499</v>
      </c>
      <c r="N70" t="s">
        <v>59</v>
      </c>
      <c r="O70" t="s">
        <v>51</v>
      </c>
      <c r="P70">
        <v>2</v>
      </c>
      <c r="Q70">
        <v>375</v>
      </c>
      <c r="R70">
        <v>18</v>
      </c>
      <c r="S70" s="1">
        <v>97.113581563462205</v>
      </c>
      <c r="T70" t="s">
        <v>44</v>
      </c>
      <c r="U70">
        <v>1.9834678721741801</v>
      </c>
      <c r="V70" t="s">
        <v>45</v>
      </c>
      <c r="W70" t="s">
        <v>46</v>
      </c>
      <c r="X70">
        <v>299.70630311810299</v>
      </c>
      <c r="Y70" s="3">
        <f>SUM(Table1[Manufacturing costs],Table1[[#This Row],[Shipping costs]],Table1[[#This Row],[Costs]])</f>
        <v>5027.5698791299747</v>
      </c>
      <c r="Z70" s="1">
        <f>Table1[[#This Row],[Revenue generated]]-Table1[[#This Row],[total cost]]</f>
        <v>-1477.3514463489846</v>
      </c>
      <c r="AA70" s="4">
        <f>IFERROR(Table1[[#This Row],[Revenue generated]]-Table1[[#This Row],[total cost]]/Table1[[#This Row],[Revenue generated]], 0)</f>
        <v>3548.8023030486029</v>
      </c>
      <c r="AB70">
        <f>SUM(Table1[[#This Row],[Manufacturing lead time]],Table1[[#This Row],[Shipping times]],Table1[[#This Row],[ supplier_Lead times]])</f>
        <v>34</v>
      </c>
      <c r="AC70" s="2" t="str" cm="1">
        <f t="array" ref="AC70">_xlfn.IFS(Table1[[#This Row],[toal lead time]]&gt;50, "high risk",Table1[[#This Row],[toal lead time]]&gt;=30, "moderate", "true", "optimal")</f>
        <v>moderate</v>
      </c>
    </row>
    <row r="71" spans="1:29" x14ac:dyDescent="0.3">
      <c r="A71" t="s">
        <v>31</v>
      </c>
      <c r="B71" t="s">
        <v>121</v>
      </c>
      <c r="C71" s="1">
        <v>54.865528517069698</v>
      </c>
      <c r="D71">
        <v>62</v>
      </c>
      <c r="E71">
        <v>511</v>
      </c>
      <c r="F71" s="1">
        <v>1752.3810874841199</v>
      </c>
      <c r="G71" t="s">
        <v>24</v>
      </c>
      <c r="H71">
        <v>95</v>
      </c>
      <c r="I71">
        <v>1</v>
      </c>
      <c r="J71">
        <v>27</v>
      </c>
      <c r="K71">
        <v>3</v>
      </c>
      <c r="L71" t="s">
        <v>25</v>
      </c>
      <c r="M71" s="1">
        <v>9.7052867901203399</v>
      </c>
      <c r="N71" t="s">
        <v>50</v>
      </c>
      <c r="O71" t="s">
        <v>43</v>
      </c>
      <c r="P71">
        <v>9</v>
      </c>
      <c r="Q71">
        <v>862</v>
      </c>
      <c r="R71">
        <v>7</v>
      </c>
      <c r="S71" s="1">
        <v>77.627765812748095</v>
      </c>
      <c r="T71" t="s">
        <v>28</v>
      </c>
      <c r="U71">
        <v>1.3623879886490999</v>
      </c>
      <c r="V71" t="s">
        <v>38</v>
      </c>
      <c r="W71" t="s">
        <v>46</v>
      </c>
      <c r="X71">
        <v>207.66320620857499</v>
      </c>
      <c r="Y71" s="3">
        <f>SUM(Table1[Manufacturing costs],Table1[[#This Row],[Shipping costs]],Table1[[#This Row],[Costs]])</f>
        <v>4944.0378171456814</v>
      </c>
      <c r="Z71" s="1">
        <f>Table1[[#This Row],[Revenue generated]]-Table1[[#This Row],[total cost]]</f>
        <v>-3191.6567296615613</v>
      </c>
      <c r="AA71" s="4">
        <f>IFERROR(Table1[[#This Row],[Revenue generated]]-Table1[[#This Row],[total cost]]/Table1[[#This Row],[Revenue generated]], 0)</f>
        <v>1749.5597617733729</v>
      </c>
      <c r="AB71">
        <f>SUM(Table1[[#This Row],[Manufacturing lead time]],Table1[[#This Row],[Shipping times]],Table1[[#This Row],[ supplier_Lead times]])</f>
        <v>11</v>
      </c>
      <c r="AC71" s="2" t="str" cm="1">
        <f t="array" ref="AC71">_xlfn.IFS(Table1[[#This Row],[toal lead time]]&gt;50, "high risk",Table1[[#This Row],[toal lead time]]&gt;=30, "moderate", "true", "optimal")</f>
        <v>optimal</v>
      </c>
    </row>
    <row r="72" spans="1:29" x14ac:dyDescent="0.3">
      <c r="A72" t="s">
        <v>22</v>
      </c>
      <c r="B72" t="s">
        <v>122</v>
      </c>
      <c r="C72" s="1">
        <v>47.914541824058702</v>
      </c>
      <c r="D72">
        <v>90</v>
      </c>
      <c r="E72">
        <v>32</v>
      </c>
      <c r="F72" s="1">
        <v>7014.8879872033804</v>
      </c>
      <c r="G72" t="s">
        <v>33</v>
      </c>
      <c r="H72">
        <v>10</v>
      </c>
      <c r="I72">
        <v>12</v>
      </c>
      <c r="J72">
        <v>22</v>
      </c>
      <c r="K72">
        <v>4</v>
      </c>
      <c r="L72" t="s">
        <v>25</v>
      </c>
      <c r="M72" s="1">
        <v>6.3157177546007199</v>
      </c>
      <c r="N72" t="s">
        <v>37</v>
      </c>
      <c r="O72" t="s">
        <v>51</v>
      </c>
      <c r="P72">
        <v>22</v>
      </c>
      <c r="Q72">
        <v>775</v>
      </c>
      <c r="R72">
        <v>16</v>
      </c>
      <c r="S72" s="1">
        <v>11.440781823761199</v>
      </c>
      <c r="T72" t="s">
        <v>62</v>
      </c>
      <c r="U72">
        <v>1.8305755986122301</v>
      </c>
      <c r="V72" t="s">
        <v>29</v>
      </c>
      <c r="W72" t="s">
        <v>39</v>
      </c>
      <c r="X72">
        <v>183.27289874871099</v>
      </c>
      <c r="Y72" s="3">
        <f>SUM(Table1[Manufacturing costs],Table1[[#This Row],[Shipping costs]],Table1[[#This Row],[Costs]])</f>
        <v>4916.2579406502982</v>
      </c>
      <c r="Z72" s="1">
        <f>Table1[[#This Row],[Revenue generated]]-Table1[[#This Row],[total cost]]</f>
        <v>2098.6300465530821</v>
      </c>
      <c r="AA72" s="4">
        <f>IFERROR(Table1[[#This Row],[Revenue generated]]-Table1[[#This Row],[total cost]]/Table1[[#This Row],[Revenue generated]], 0)</f>
        <v>7014.1871552086832</v>
      </c>
      <c r="AB72">
        <f>SUM(Table1[[#This Row],[Manufacturing lead time]],Table1[[#This Row],[Shipping times]],Table1[[#This Row],[ supplier_Lead times]])</f>
        <v>32</v>
      </c>
      <c r="AC72" s="2" t="str" cm="1">
        <f t="array" ref="AC72">_xlfn.IFS(Table1[[#This Row],[toal lead time]]&gt;50, "high risk",Table1[[#This Row],[toal lead time]]&gt;=30, "moderate", "true", "optimal")</f>
        <v>moderate</v>
      </c>
    </row>
    <row r="73" spans="1:29" x14ac:dyDescent="0.3">
      <c r="A73" t="s">
        <v>55</v>
      </c>
      <c r="B73" t="s">
        <v>123</v>
      </c>
      <c r="C73" s="1">
        <v>6.3815331627479601</v>
      </c>
      <c r="D73">
        <v>14</v>
      </c>
      <c r="E73">
        <v>637</v>
      </c>
      <c r="F73" s="1">
        <v>8180.3370854254399</v>
      </c>
      <c r="G73" t="s">
        <v>33</v>
      </c>
      <c r="H73">
        <v>76</v>
      </c>
      <c r="I73">
        <v>2</v>
      </c>
      <c r="J73">
        <v>26</v>
      </c>
      <c r="K73">
        <v>6</v>
      </c>
      <c r="L73" t="s">
        <v>34</v>
      </c>
      <c r="M73" s="1">
        <v>9.2281903170525101</v>
      </c>
      <c r="N73" t="s">
        <v>59</v>
      </c>
      <c r="O73" t="s">
        <v>51</v>
      </c>
      <c r="P73">
        <v>2</v>
      </c>
      <c r="Q73">
        <v>258</v>
      </c>
      <c r="R73">
        <v>10</v>
      </c>
      <c r="S73" s="1">
        <v>30.661677477859499</v>
      </c>
      <c r="T73" t="s">
        <v>28</v>
      </c>
      <c r="U73">
        <v>2.07875060787496</v>
      </c>
      <c r="V73" t="s">
        <v>29</v>
      </c>
      <c r="W73" t="s">
        <v>46</v>
      </c>
      <c r="X73">
        <v>405.167067888855</v>
      </c>
      <c r="Y73" s="3">
        <f>SUM(Table1[Manufacturing costs],Table1[[#This Row],[Shipping costs]],Table1[[#This Row],[Costs]])</f>
        <v>5141.0645823528939</v>
      </c>
      <c r="Z73" s="1">
        <f>Table1[[#This Row],[Revenue generated]]-Table1[[#This Row],[total cost]]</f>
        <v>3039.272503072546</v>
      </c>
      <c r="AA73" s="4">
        <f>IFERROR(Table1[[#This Row],[Revenue generated]]-Table1[[#This Row],[total cost]]/Table1[[#This Row],[Revenue generated]], 0)</f>
        <v>8179.7086193208452</v>
      </c>
      <c r="AB73">
        <f>SUM(Table1[[#This Row],[Manufacturing lead time]],Table1[[#This Row],[Shipping times]],Table1[[#This Row],[ supplier_Lead times]])</f>
        <v>18</v>
      </c>
      <c r="AC73" s="2" t="str" cm="1">
        <f t="array" ref="AC73">_xlfn.IFS(Table1[[#This Row],[toal lead time]]&gt;50, "high risk",Table1[[#This Row],[toal lead time]]&gt;=30, "moderate", "true", "optimal")</f>
        <v>optimal</v>
      </c>
    </row>
    <row r="74" spans="1:29" x14ac:dyDescent="0.3">
      <c r="A74" t="s">
        <v>55</v>
      </c>
      <c r="B74" t="s">
        <v>124</v>
      </c>
      <c r="C74" s="1">
        <v>90.204427520528</v>
      </c>
      <c r="D74">
        <v>88</v>
      </c>
      <c r="E74">
        <v>478</v>
      </c>
      <c r="F74" s="1">
        <v>2633.1219813122498</v>
      </c>
      <c r="G74" t="s">
        <v>24</v>
      </c>
      <c r="H74">
        <v>57</v>
      </c>
      <c r="I74">
        <v>29</v>
      </c>
      <c r="J74">
        <v>77</v>
      </c>
      <c r="K74">
        <v>9</v>
      </c>
      <c r="L74" t="s">
        <v>34</v>
      </c>
      <c r="M74" s="1">
        <v>6.5996141596895397</v>
      </c>
      <c r="N74" t="s">
        <v>37</v>
      </c>
      <c r="O74" t="s">
        <v>51</v>
      </c>
      <c r="P74">
        <v>21</v>
      </c>
      <c r="Q74">
        <v>152</v>
      </c>
      <c r="R74">
        <v>11</v>
      </c>
      <c r="S74" s="1">
        <v>55.760492895244198</v>
      </c>
      <c r="T74" t="s">
        <v>28</v>
      </c>
      <c r="U74">
        <v>3.2133296074383</v>
      </c>
      <c r="V74" t="s">
        <v>45</v>
      </c>
      <c r="W74" t="s">
        <v>30</v>
      </c>
      <c r="X74">
        <v>677.94456984618296</v>
      </c>
      <c r="Y74" s="3">
        <f>SUM(Table1[Manufacturing costs],Table1[[#This Row],[Shipping costs]],Table1[[#This Row],[Costs]])</f>
        <v>5411.2135081528595</v>
      </c>
      <c r="Z74" s="1">
        <f>Table1[[#This Row],[Revenue generated]]-Table1[[#This Row],[total cost]]</f>
        <v>-2778.0915268406097</v>
      </c>
      <c r="AA74" s="4">
        <f>IFERROR(Table1[[#This Row],[Revenue generated]]-Table1[[#This Row],[total cost]]/Table1[[#This Row],[Revenue generated]], 0)</f>
        <v>2631.0669251672794</v>
      </c>
      <c r="AB74">
        <f>SUM(Table1[[#This Row],[Manufacturing lead time]],Table1[[#This Row],[Shipping times]],Table1[[#This Row],[ supplier_Lead times]])</f>
        <v>49</v>
      </c>
      <c r="AC74" s="2" t="str" cm="1">
        <f t="array" ref="AC74">_xlfn.IFS(Table1[[#This Row],[toal lead time]]&gt;50, "high risk",Table1[[#This Row],[toal lead time]]&gt;=30, "moderate", "true", "optimal")</f>
        <v>moderate</v>
      </c>
    </row>
    <row r="75" spans="1:29" x14ac:dyDescent="0.3">
      <c r="A75" t="s">
        <v>55</v>
      </c>
      <c r="B75" t="s">
        <v>125</v>
      </c>
      <c r="C75" s="1">
        <v>83.851017681304597</v>
      </c>
      <c r="D75">
        <v>41</v>
      </c>
      <c r="E75">
        <v>375</v>
      </c>
      <c r="F75" s="1">
        <v>7910.8869161406801</v>
      </c>
      <c r="G75" t="s">
        <v>53</v>
      </c>
      <c r="H75">
        <v>17</v>
      </c>
      <c r="I75">
        <v>25</v>
      </c>
      <c r="J75">
        <v>66</v>
      </c>
      <c r="K75">
        <v>5</v>
      </c>
      <c r="L75" t="s">
        <v>25</v>
      </c>
      <c r="M75" s="1">
        <v>1.5129368369160701</v>
      </c>
      <c r="N75" t="s">
        <v>50</v>
      </c>
      <c r="O75" t="s">
        <v>60</v>
      </c>
      <c r="P75">
        <v>13</v>
      </c>
      <c r="Q75">
        <v>444</v>
      </c>
      <c r="R75">
        <v>4</v>
      </c>
      <c r="S75" s="1">
        <v>46.870238797617098</v>
      </c>
      <c r="T75" t="s">
        <v>44</v>
      </c>
      <c r="U75">
        <v>4.6205460645137002</v>
      </c>
      <c r="V75" t="s">
        <v>29</v>
      </c>
      <c r="W75" t="s">
        <v>46</v>
      </c>
      <c r="X75">
        <v>866.472800129657</v>
      </c>
      <c r="Y75" s="3">
        <f>SUM(Table1[Manufacturing costs],Table1[[#This Row],[Shipping costs]],Table1[[#This Row],[Costs]])</f>
        <v>5594.6550611135599</v>
      </c>
      <c r="Z75" s="1">
        <f>Table1[[#This Row],[Revenue generated]]-Table1[[#This Row],[total cost]]</f>
        <v>2316.2318550271202</v>
      </c>
      <c r="AA75" s="4">
        <f>IFERROR(Table1[[#This Row],[Revenue generated]]-Table1[[#This Row],[total cost]]/Table1[[#This Row],[Revenue generated]], 0)</f>
        <v>7910.179706554648</v>
      </c>
      <c r="AB75">
        <f>SUM(Table1[[#This Row],[Manufacturing lead time]],Table1[[#This Row],[Shipping times]],Table1[[#This Row],[ supplier_Lead times]])</f>
        <v>34</v>
      </c>
      <c r="AC75" s="2" t="str" cm="1">
        <f t="array" ref="AC75">_xlfn.IFS(Table1[[#This Row],[toal lead time]]&gt;50, "high risk",Table1[[#This Row],[toal lead time]]&gt;=30, "moderate", "true", "optimal")</f>
        <v>moderate</v>
      </c>
    </row>
    <row r="76" spans="1:29" x14ac:dyDescent="0.3">
      <c r="A76" t="s">
        <v>22</v>
      </c>
      <c r="B76" t="s">
        <v>126</v>
      </c>
      <c r="C76" s="1">
        <v>3.1700114135661499</v>
      </c>
      <c r="D76">
        <v>64</v>
      </c>
      <c r="E76">
        <v>904</v>
      </c>
      <c r="F76" s="1">
        <v>5709.9452959692799</v>
      </c>
      <c r="G76" t="s">
        <v>33</v>
      </c>
      <c r="H76">
        <v>41</v>
      </c>
      <c r="I76">
        <v>6</v>
      </c>
      <c r="J76">
        <v>1</v>
      </c>
      <c r="K76">
        <v>5</v>
      </c>
      <c r="L76" t="s">
        <v>34</v>
      </c>
      <c r="M76" s="1">
        <v>5.2376546500374399</v>
      </c>
      <c r="N76" t="s">
        <v>50</v>
      </c>
      <c r="O76" t="s">
        <v>48</v>
      </c>
      <c r="P76">
        <v>1</v>
      </c>
      <c r="Q76">
        <v>919</v>
      </c>
      <c r="R76">
        <v>9</v>
      </c>
      <c r="S76" s="1">
        <v>80.580852156447804</v>
      </c>
      <c r="T76" t="s">
        <v>44</v>
      </c>
      <c r="U76">
        <v>0.39661272410993498</v>
      </c>
      <c r="V76" t="s">
        <v>45</v>
      </c>
      <c r="W76" t="s">
        <v>46</v>
      </c>
      <c r="X76">
        <v>341.55265678322297</v>
      </c>
      <c r="Y76" s="3">
        <f>SUM(Table1[Manufacturing costs],Table1[[#This Row],[Shipping costs]],Table1[[#This Row],[Costs]])</f>
        <v>5073.4596355802469</v>
      </c>
      <c r="Z76" s="1">
        <f>Table1[[#This Row],[Revenue generated]]-Table1[[#This Row],[total cost]]</f>
        <v>636.485660389033</v>
      </c>
      <c r="AA76" s="4">
        <f>IFERROR(Table1[[#This Row],[Revenue generated]]-Table1[[#This Row],[total cost]]/Table1[[#This Row],[Revenue generated]], 0)</f>
        <v>5709.0567656292151</v>
      </c>
      <c r="AB76">
        <f>SUM(Table1[[#This Row],[Manufacturing lead time]],Table1[[#This Row],[Shipping times]],Table1[[#This Row],[ supplier_Lead times]])</f>
        <v>20</v>
      </c>
      <c r="AC76" s="2" t="str" cm="1">
        <f t="array" ref="AC76">_xlfn.IFS(Table1[[#This Row],[toal lead time]]&gt;50, "high risk",Table1[[#This Row],[toal lead time]]&gt;=30, "moderate", "true", "optimal")</f>
        <v>optimal</v>
      </c>
    </row>
    <row r="77" spans="1:29" x14ac:dyDescent="0.3">
      <c r="A77" t="s">
        <v>31</v>
      </c>
      <c r="B77" t="s">
        <v>127</v>
      </c>
      <c r="C77" s="1">
        <v>92.996884233970604</v>
      </c>
      <c r="D77">
        <v>29</v>
      </c>
      <c r="E77">
        <v>106</v>
      </c>
      <c r="F77" s="1">
        <v>1889.07358977933</v>
      </c>
      <c r="G77" t="s">
        <v>24</v>
      </c>
      <c r="H77">
        <v>16</v>
      </c>
      <c r="I77">
        <v>20</v>
      </c>
      <c r="J77">
        <v>56</v>
      </c>
      <c r="K77">
        <v>10</v>
      </c>
      <c r="L77" t="s">
        <v>41</v>
      </c>
      <c r="M77" s="1">
        <v>2.47389776104546</v>
      </c>
      <c r="N77" t="s">
        <v>37</v>
      </c>
      <c r="O77" t="s">
        <v>60</v>
      </c>
      <c r="P77">
        <v>25</v>
      </c>
      <c r="Q77">
        <v>759</v>
      </c>
      <c r="R77">
        <v>11</v>
      </c>
      <c r="S77" s="1">
        <v>48.064782640006499</v>
      </c>
      <c r="T77" t="s">
        <v>62</v>
      </c>
      <c r="U77">
        <v>2.0300690886687498</v>
      </c>
      <c r="V77" t="s">
        <v>38</v>
      </c>
      <c r="W77" t="s">
        <v>39</v>
      </c>
      <c r="X77">
        <v>873.12964801765099</v>
      </c>
      <c r="Y77" s="3">
        <f>SUM(Table1[Manufacturing costs],Table1[[#This Row],[Shipping costs]],Table1[[#This Row],[Costs]])</f>
        <v>5602.2728699256822</v>
      </c>
      <c r="Z77" s="1">
        <f>Table1[[#This Row],[Revenue generated]]-Table1[[#This Row],[total cost]]</f>
        <v>-3713.1992801463521</v>
      </c>
      <c r="AA77" s="4">
        <f>IFERROR(Table1[[#This Row],[Revenue generated]]-Table1[[#This Row],[total cost]]/Table1[[#This Row],[Revenue generated]], 0)</f>
        <v>1886.107970599518</v>
      </c>
      <c r="AB77">
        <f>SUM(Table1[[#This Row],[Manufacturing lead time]],Table1[[#This Row],[Shipping times]],Table1[[#This Row],[ supplier_Lead times]])</f>
        <v>41</v>
      </c>
      <c r="AC77" s="2" t="str" cm="1">
        <f t="array" ref="AC77">_xlfn.IFS(Table1[[#This Row],[toal lead time]]&gt;50, "high risk",Table1[[#This Row],[toal lead time]]&gt;=30, "moderate", "true", "optimal")</f>
        <v>moderate</v>
      </c>
    </row>
    <row r="78" spans="1:29" x14ac:dyDescent="0.3">
      <c r="A78" t="s">
        <v>22</v>
      </c>
      <c r="B78" t="s">
        <v>128</v>
      </c>
      <c r="C78" s="1">
        <v>69.108799547430294</v>
      </c>
      <c r="D78">
        <v>23</v>
      </c>
      <c r="E78">
        <v>241</v>
      </c>
      <c r="F78" s="1">
        <v>5328.3759842977497</v>
      </c>
      <c r="G78" t="s">
        <v>53</v>
      </c>
      <c r="H78">
        <v>38</v>
      </c>
      <c r="I78">
        <v>1</v>
      </c>
      <c r="J78">
        <v>22</v>
      </c>
      <c r="K78">
        <v>10</v>
      </c>
      <c r="L78" t="s">
        <v>34</v>
      </c>
      <c r="M78" s="1">
        <v>7.0545383368369201</v>
      </c>
      <c r="N78" t="s">
        <v>59</v>
      </c>
      <c r="O78" t="s">
        <v>51</v>
      </c>
      <c r="P78">
        <v>25</v>
      </c>
      <c r="Q78">
        <v>985</v>
      </c>
      <c r="R78">
        <v>24</v>
      </c>
      <c r="S78" s="1">
        <v>64.323597795600193</v>
      </c>
      <c r="T78" t="s">
        <v>28</v>
      </c>
      <c r="U78">
        <v>2.1800374515822099</v>
      </c>
      <c r="V78" t="s">
        <v>45</v>
      </c>
      <c r="W78" t="s">
        <v>46</v>
      </c>
      <c r="X78">
        <v>997.41345013319403</v>
      </c>
      <c r="Y78" s="3">
        <f>SUM(Table1[Manufacturing costs],Table1[[#This Row],[Shipping costs]],Table1[[#This Row],[Costs]])</f>
        <v>5731.1373126170174</v>
      </c>
      <c r="Z78" s="1">
        <f>Table1[[#This Row],[Revenue generated]]-Table1[[#This Row],[total cost]]</f>
        <v>-402.7613283192677</v>
      </c>
      <c r="AA78" s="4">
        <f>IFERROR(Table1[[#This Row],[Revenue generated]]-Table1[[#This Row],[total cost]]/Table1[[#This Row],[Revenue generated]], 0)</f>
        <v>5327.3003962894136</v>
      </c>
      <c r="AB78">
        <f>SUM(Table1[[#This Row],[Manufacturing lead time]],Table1[[#This Row],[Shipping times]],Table1[[#This Row],[ supplier_Lead times]])</f>
        <v>35</v>
      </c>
      <c r="AC78" s="2" t="str" cm="1">
        <f t="array" ref="AC78">_xlfn.IFS(Table1[[#This Row],[toal lead time]]&gt;50, "high risk",Table1[[#This Row],[toal lead time]]&gt;=30, "moderate", "true", "optimal")</f>
        <v>moderate</v>
      </c>
    </row>
    <row r="79" spans="1:29" x14ac:dyDescent="0.3">
      <c r="A79" t="s">
        <v>22</v>
      </c>
      <c r="B79" t="s">
        <v>129</v>
      </c>
      <c r="C79" s="1">
        <v>57.449742958971399</v>
      </c>
      <c r="D79">
        <v>14</v>
      </c>
      <c r="E79">
        <v>359</v>
      </c>
      <c r="F79" s="1">
        <v>2483.7601775427902</v>
      </c>
      <c r="G79" t="s">
        <v>36</v>
      </c>
      <c r="H79">
        <v>96</v>
      </c>
      <c r="I79">
        <v>28</v>
      </c>
      <c r="J79">
        <v>57</v>
      </c>
      <c r="K79">
        <v>4</v>
      </c>
      <c r="L79" t="s">
        <v>25</v>
      </c>
      <c r="M79" s="1">
        <v>6.7809466256178901</v>
      </c>
      <c r="N79" t="s">
        <v>37</v>
      </c>
      <c r="O79" t="s">
        <v>43</v>
      </c>
      <c r="P79">
        <v>26</v>
      </c>
      <c r="Q79">
        <v>334</v>
      </c>
      <c r="R79">
        <v>5</v>
      </c>
      <c r="S79" s="1">
        <v>42.952444748991802</v>
      </c>
      <c r="T79" t="s">
        <v>62</v>
      </c>
      <c r="U79">
        <v>3.0551418183075398</v>
      </c>
      <c r="V79" t="s">
        <v>29</v>
      </c>
      <c r="W79" t="s">
        <v>30</v>
      </c>
      <c r="X79">
        <v>852.56809891984994</v>
      </c>
      <c r="Y79" s="3">
        <f>SUM(Table1[Manufacturing costs],Table1[[#This Row],[Shipping costs]],Table1[[#This Row],[Costs]])</f>
        <v>5586.0183696924541</v>
      </c>
      <c r="Z79" s="1">
        <f>Table1[[#This Row],[Revenue generated]]-Table1[[#This Row],[total cost]]</f>
        <v>-3102.258192149664</v>
      </c>
      <c r="AA79" s="4">
        <f>IFERROR(Table1[[#This Row],[Revenue generated]]-Table1[[#This Row],[total cost]]/Table1[[#This Row],[Revenue generated]], 0)</f>
        <v>2481.5111607414906</v>
      </c>
      <c r="AB79">
        <f>SUM(Table1[[#This Row],[Manufacturing lead time]],Table1[[#This Row],[Shipping times]],Table1[[#This Row],[ supplier_Lead times]])</f>
        <v>37</v>
      </c>
      <c r="AC79" s="2" t="str" cm="1">
        <f t="array" ref="AC79">_xlfn.IFS(Table1[[#This Row],[toal lead time]]&gt;50, "high risk",Table1[[#This Row],[toal lead time]]&gt;=30, "moderate", "true", "optimal")</f>
        <v>moderate</v>
      </c>
    </row>
    <row r="80" spans="1:29" x14ac:dyDescent="0.3">
      <c r="A80" t="s">
        <v>22</v>
      </c>
      <c r="B80" t="s">
        <v>130</v>
      </c>
      <c r="C80" s="1">
        <v>6.30688317611191</v>
      </c>
      <c r="D80">
        <v>50</v>
      </c>
      <c r="E80">
        <v>946</v>
      </c>
      <c r="F80" s="1">
        <v>1292.45841793775</v>
      </c>
      <c r="G80" t="s">
        <v>36</v>
      </c>
      <c r="H80">
        <v>5</v>
      </c>
      <c r="I80">
        <v>4</v>
      </c>
      <c r="J80">
        <v>51</v>
      </c>
      <c r="K80">
        <v>5</v>
      </c>
      <c r="L80" t="s">
        <v>25</v>
      </c>
      <c r="M80" s="1">
        <v>8.4670497708619905</v>
      </c>
      <c r="N80" t="s">
        <v>42</v>
      </c>
      <c r="O80" t="s">
        <v>27</v>
      </c>
      <c r="P80">
        <v>25</v>
      </c>
      <c r="Q80">
        <v>858</v>
      </c>
      <c r="R80">
        <v>21</v>
      </c>
      <c r="S80" s="1">
        <v>71.126514720403307</v>
      </c>
      <c r="T80" t="s">
        <v>28</v>
      </c>
      <c r="U80">
        <v>4.0968813324704501</v>
      </c>
      <c r="V80" t="s">
        <v>54</v>
      </c>
      <c r="W80" t="s">
        <v>39</v>
      </c>
      <c r="X80">
        <v>323.59220343132199</v>
      </c>
      <c r="Y80" s="3">
        <f>SUM(Table1[Manufacturing costs],Table1[[#This Row],[Shipping costs]],Table1[[#This Row],[Costs]])</f>
        <v>5058.7285773491703</v>
      </c>
      <c r="Z80" s="1">
        <f>Table1[[#This Row],[Revenue generated]]-Table1[[#This Row],[total cost]]</f>
        <v>-3766.2701594114205</v>
      </c>
      <c r="AA80" s="4">
        <f>IFERROR(Table1[[#This Row],[Revenue generated]]-Table1[[#This Row],[total cost]]/Table1[[#This Row],[Revenue generated]], 0)</f>
        <v>1288.544382091691</v>
      </c>
      <c r="AB80">
        <f>SUM(Table1[[#This Row],[Manufacturing lead time]],Table1[[#This Row],[Shipping times]],Table1[[#This Row],[ supplier_Lead times]])</f>
        <v>30</v>
      </c>
      <c r="AC80" s="2" t="str" cm="1">
        <f t="array" ref="AC80">_xlfn.IFS(Table1[[#This Row],[toal lead time]]&gt;50, "high risk",Table1[[#This Row],[toal lead time]]&gt;=30, "moderate", "true", "optimal")</f>
        <v>moderate</v>
      </c>
    </row>
    <row r="81" spans="1:29" x14ac:dyDescent="0.3">
      <c r="A81" t="s">
        <v>22</v>
      </c>
      <c r="B81" t="s">
        <v>131</v>
      </c>
      <c r="C81" s="1">
        <v>57.057031221103202</v>
      </c>
      <c r="D81">
        <v>56</v>
      </c>
      <c r="E81">
        <v>198</v>
      </c>
      <c r="F81" s="1">
        <v>7888.7232684270803</v>
      </c>
      <c r="G81" t="s">
        <v>24</v>
      </c>
      <c r="H81">
        <v>31</v>
      </c>
      <c r="I81">
        <v>25</v>
      </c>
      <c r="J81">
        <v>20</v>
      </c>
      <c r="K81">
        <v>1</v>
      </c>
      <c r="L81" t="s">
        <v>25</v>
      </c>
      <c r="M81" s="1">
        <v>6.49632536429504</v>
      </c>
      <c r="N81" t="s">
        <v>26</v>
      </c>
      <c r="O81" t="s">
        <v>51</v>
      </c>
      <c r="P81">
        <v>5</v>
      </c>
      <c r="Q81">
        <v>228</v>
      </c>
      <c r="R81">
        <v>12</v>
      </c>
      <c r="S81" s="1">
        <v>57.870902924036201</v>
      </c>
      <c r="T81" t="s">
        <v>28</v>
      </c>
      <c r="U81">
        <v>0.16587162748060799</v>
      </c>
      <c r="V81" t="s">
        <v>38</v>
      </c>
      <c r="W81" t="s">
        <v>39</v>
      </c>
      <c r="X81">
        <v>351.50421933503799</v>
      </c>
      <c r="Y81" s="3">
        <f>SUM(Table1[Manufacturing costs],Table1[[#This Row],[Shipping costs]],Table1[[#This Row],[Costs]])</f>
        <v>5084.6698688463202</v>
      </c>
      <c r="Z81" s="1">
        <f>Table1[[#This Row],[Revenue generated]]-Table1[[#This Row],[total cost]]</f>
        <v>2804.05339958076</v>
      </c>
      <c r="AA81" s="4">
        <f>IFERROR(Table1[[#This Row],[Revenue generated]]-Table1[[#This Row],[total cost]]/Table1[[#This Row],[Revenue generated]], 0)</f>
        <v>7888.0787192781454</v>
      </c>
      <c r="AB81">
        <f>SUM(Table1[[#This Row],[Manufacturing lead time]],Table1[[#This Row],[Shipping times]],Table1[[#This Row],[ supplier_Lead times]])</f>
        <v>38</v>
      </c>
      <c r="AC81" s="2" t="str" cm="1">
        <f t="array" ref="AC81">_xlfn.IFS(Table1[[#This Row],[toal lead time]]&gt;50, "high risk",Table1[[#This Row],[toal lead time]]&gt;=30, "moderate", "true", "optimal")</f>
        <v>moderate</v>
      </c>
    </row>
    <row r="82" spans="1:29" x14ac:dyDescent="0.3">
      <c r="A82" t="s">
        <v>31</v>
      </c>
      <c r="B82" t="s">
        <v>132</v>
      </c>
      <c r="C82" s="1">
        <v>91.128318350444303</v>
      </c>
      <c r="D82">
        <v>75</v>
      </c>
      <c r="E82">
        <v>872</v>
      </c>
      <c r="F82" s="1">
        <v>8651.67268298206</v>
      </c>
      <c r="G82" t="s">
        <v>36</v>
      </c>
      <c r="H82">
        <v>39</v>
      </c>
      <c r="I82">
        <v>14</v>
      </c>
      <c r="J82">
        <v>41</v>
      </c>
      <c r="K82">
        <v>2</v>
      </c>
      <c r="L82" t="s">
        <v>41</v>
      </c>
      <c r="M82" s="1">
        <v>2.8331846794189701</v>
      </c>
      <c r="N82" t="s">
        <v>26</v>
      </c>
      <c r="O82" t="s">
        <v>60</v>
      </c>
      <c r="P82">
        <v>8</v>
      </c>
      <c r="Q82">
        <v>202</v>
      </c>
      <c r="R82">
        <v>5</v>
      </c>
      <c r="S82" s="1">
        <v>76.961228023819999</v>
      </c>
      <c r="T82" t="s">
        <v>44</v>
      </c>
      <c r="U82">
        <v>2.8496621985053299</v>
      </c>
      <c r="V82" t="s">
        <v>54</v>
      </c>
      <c r="W82" t="s">
        <v>30</v>
      </c>
      <c r="X82">
        <v>787.77985049434403</v>
      </c>
      <c r="Y82" s="3">
        <f>SUM(Table1[Manufacturing costs],Table1[[#This Row],[Shipping costs]],Table1[[#This Row],[Costs]])</f>
        <v>5517.2823593207495</v>
      </c>
      <c r="Z82" s="1">
        <f>Table1[[#This Row],[Revenue generated]]-Table1[[#This Row],[total cost]]</f>
        <v>3134.3903236613105</v>
      </c>
      <c r="AA82" s="4">
        <f>IFERROR(Table1[[#This Row],[Revenue generated]]-Table1[[#This Row],[total cost]]/Table1[[#This Row],[Revenue generated]], 0)</f>
        <v>8651.0349701880732</v>
      </c>
      <c r="AB82">
        <f>SUM(Table1[[#This Row],[Manufacturing lead time]],Table1[[#This Row],[Shipping times]],Table1[[#This Row],[ supplier_Lead times]])</f>
        <v>21</v>
      </c>
      <c r="AC82" s="2" t="str" cm="1">
        <f t="array" ref="AC82">_xlfn.IFS(Table1[[#This Row],[toal lead time]]&gt;50, "high risk",Table1[[#This Row],[toal lead time]]&gt;=30, "moderate", "true", "optimal")</f>
        <v>optimal</v>
      </c>
    </row>
    <row r="83" spans="1:29" x14ac:dyDescent="0.3">
      <c r="A83" t="s">
        <v>22</v>
      </c>
      <c r="B83" t="s">
        <v>133</v>
      </c>
      <c r="C83" s="1">
        <v>72.819206930318202</v>
      </c>
      <c r="D83">
        <v>9</v>
      </c>
      <c r="E83">
        <v>774</v>
      </c>
      <c r="F83" s="1">
        <v>4384.4134000458598</v>
      </c>
      <c r="G83" t="s">
        <v>36</v>
      </c>
      <c r="H83">
        <v>48</v>
      </c>
      <c r="I83">
        <v>6</v>
      </c>
      <c r="J83">
        <v>8</v>
      </c>
      <c r="K83">
        <v>5</v>
      </c>
      <c r="L83" t="s">
        <v>25</v>
      </c>
      <c r="M83" s="1">
        <v>4.0662775015120403</v>
      </c>
      <c r="N83" t="s">
        <v>26</v>
      </c>
      <c r="O83" t="s">
        <v>48</v>
      </c>
      <c r="P83">
        <v>28</v>
      </c>
      <c r="Q83">
        <v>698</v>
      </c>
      <c r="R83">
        <v>1</v>
      </c>
      <c r="S83" s="1">
        <v>19.789592941903599</v>
      </c>
      <c r="T83" t="s">
        <v>28</v>
      </c>
      <c r="U83">
        <v>2.54754712154871</v>
      </c>
      <c r="V83" t="s">
        <v>45</v>
      </c>
      <c r="W83" t="s">
        <v>30</v>
      </c>
      <c r="X83">
        <v>276.77833594679799</v>
      </c>
      <c r="Y83" s="3">
        <f>SUM(Table1[Manufacturing costs],Table1[[#This Row],[Shipping costs]],Table1[[#This Row],[Costs]])</f>
        <v>5007.5139375952958</v>
      </c>
      <c r="Z83" s="1">
        <f>Table1[[#This Row],[Revenue generated]]-Table1[[#This Row],[total cost]]</f>
        <v>-623.10053754943601</v>
      </c>
      <c r="AA83" s="4">
        <f>IFERROR(Table1[[#This Row],[Revenue generated]]-Table1[[#This Row],[total cost]]/Table1[[#This Row],[Revenue generated]], 0)</f>
        <v>4383.2712828500808</v>
      </c>
      <c r="AB83">
        <f>SUM(Table1[[#This Row],[Manufacturing lead time]],Table1[[#This Row],[Shipping times]],Table1[[#This Row],[ supplier_Lead times]])</f>
        <v>12</v>
      </c>
      <c r="AC83" s="2" t="str" cm="1">
        <f t="array" ref="AC83">_xlfn.IFS(Table1[[#This Row],[toal lead time]]&gt;50, "high risk",Table1[[#This Row],[toal lead time]]&gt;=30, "moderate", "true", "optimal")</f>
        <v>optimal</v>
      </c>
    </row>
    <row r="84" spans="1:29" x14ac:dyDescent="0.3">
      <c r="A84" t="s">
        <v>31</v>
      </c>
      <c r="B84" t="s">
        <v>134</v>
      </c>
      <c r="C84" s="1">
        <v>17.034930739467899</v>
      </c>
      <c r="D84">
        <v>13</v>
      </c>
      <c r="E84">
        <v>336</v>
      </c>
      <c r="F84" s="1">
        <v>2943.3818676094502</v>
      </c>
      <c r="G84" t="s">
        <v>36</v>
      </c>
      <c r="H84">
        <v>42</v>
      </c>
      <c r="I84">
        <v>19</v>
      </c>
      <c r="J84">
        <v>72</v>
      </c>
      <c r="K84">
        <v>1</v>
      </c>
      <c r="L84" t="s">
        <v>34</v>
      </c>
      <c r="M84" s="1">
        <v>4.7081818735419301</v>
      </c>
      <c r="N84" t="s">
        <v>59</v>
      </c>
      <c r="O84" t="s">
        <v>27</v>
      </c>
      <c r="P84">
        <v>6</v>
      </c>
      <c r="Q84">
        <v>955</v>
      </c>
      <c r="R84">
        <v>26</v>
      </c>
      <c r="S84" s="1">
        <v>4.4652784349432402</v>
      </c>
      <c r="T84" t="s">
        <v>28</v>
      </c>
      <c r="U84">
        <v>4.1378770486223502</v>
      </c>
      <c r="V84" t="s">
        <v>29</v>
      </c>
      <c r="W84" t="s">
        <v>39</v>
      </c>
      <c r="X84">
        <v>589.97855562804</v>
      </c>
      <c r="Y84" s="3">
        <f>SUM(Table1[Manufacturing costs],Table1[[#This Row],[Shipping costs]],Table1[[#This Row],[Costs]])</f>
        <v>5321.3560616485693</v>
      </c>
      <c r="Z84" s="1">
        <f>Table1[[#This Row],[Revenue generated]]-Table1[[#This Row],[total cost]]</f>
        <v>-2377.9741940391191</v>
      </c>
      <c r="AA84" s="4">
        <f>IFERROR(Table1[[#This Row],[Revenue generated]]-Table1[[#This Row],[total cost]]/Table1[[#This Row],[Revenue generated]], 0)</f>
        <v>2941.573962179235</v>
      </c>
      <c r="AB84">
        <f>SUM(Table1[[#This Row],[Manufacturing lead time]],Table1[[#This Row],[Shipping times]],Table1[[#This Row],[ supplier_Lead times]])</f>
        <v>46</v>
      </c>
      <c r="AC84" s="2" t="str" cm="1">
        <f t="array" ref="AC84">_xlfn.IFS(Table1[[#This Row],[toal lead time]]&gt;50, "high risk",Table1[[#This Row],[toal lead time]]&gt;=30, "moderate", "true", "optimal")</f>
        <v>moderate</v>
      </c>
    </row>
    <row r="85" spans="1:29" x14ac:dyDescent="0.3">
      <c r="A85" t="s">
        <v>22</v>
      </c>
      <c r="B85" t="s">
        <v>135</v>
      </c>
      <c r="C85" s="1">
        <v>68.911246211606297</v>
      </c>
      <c r="D85">
        <v>82</v>
      </c>
      <c r="E85">
        <v>663</v>
      </c>
      <c r="F85" s="1">
        <v>2411.7546321104901</v>
      </c>
      <c r="G85" t="s">
        <v>36</v>
      </c>
      <c r="H85">
        <v>65</v>
      </c>
      <c r="I85">
        <v>24</v>
      </c>
      <c r="J85">
        <v>7</v>
      </c>
      <c r="K85">
        <v>8</v>
      </c>
      <c r="L85" t="s">
        <v>25</v>
      </c>
      <c r="M85" s="1">
        <v>4.94983957799694</v>
      </c>
      <c r="N85" t="s">
        <v>37</v>
      </c>
      <c r="O85" t="s">
        <v>51</v>
      </c>
      <c r="P85">
        <v>20</v>
      </c>
      <c r="Q85">
        <v>443</v>
      </c>
      <c r="R85">
        <v>5</v>
      </c>
      <c r="S85" s="1">
        <v>97.730593800533001</v>
      </c>
      <c r="T85" t="s">
        <v>44</v>
      </c>
      <c r="U85">
        <v>0.77300613406724705</v>
      </c>
      <c r="V85" t="s">
        <v>29</v>
      </c>
      <c r="W85" t="s">
        <v>46</v>
      </c>
      <c r="X85">
        <v>682.97101822609295</v>
      </c>
      <c r="Y85" s="3">
        <f>SUM(Table1[Manufacturing costs],Table1[[#This Row],[Shipping costs]],Table1[[#This Row],[Costs]])</f>
        <v>5414.5901819510764</v>
      </c>
      <c r="Z85" s="1">
        <f>Table1[[#This Row],[Revenue generated]]-Table1[[#This Row],[total cost]]</f>
        <v>-3002.8355498405863</v>
      </c>
      <c r="AA85" s="4">
        <f>IFERROR(Table1[[#This Row],[Revenue generated]]-Table1[[#This Row],[total cost]]/Table1[[#This Row],[Revenue generated]], 0)</f>
        <v>2409.5095487550525</v>
      </c>
      <c r="AB85">
        <f>SUM(Table1[[#This Row],[Manufacturing lead time]],Table1[[#This Row],[Shipping times]],Table1[[#This Row],[ supplier_Lead times]])</f>
        <v>37</v>
      </c>
      <c r="AC85" s="2" t="str" cm="1">
        <f t="array" ref="AC85">_xlfn.IFS(Table1[[#This Row],[toal lead time]]&gt;50, "high risk",Table1[[#This Row],[toal lead time]]&gt;=30, "moderate", "true", "optimal")</f>
        <v>moderate</v>
      </c>
    </row>
    <row r="86" spans="1:29" x14ac:dyDescent="0.3">
      <c r="A86" t="s">
        <v>22</v>
      </c>
      <c r="B86" t="s">
        <v>136</v>
      </c>
      <c r="C86" s="1">
        <v>89.104367292102197</v>
      </c>
      <c r="D86">
        <v>99</v>
      </c>
      <c r="E86">
        <v>618</v>
      </c>
      <c r="F86" s="1">
        <v>2048.2900998487098</v>
      </c>
      <c r="G86" t="s">
        <v>36</v>
      </c>
      <c r="H86">
        <v>73</v>
      </c>
      <c r="I86">
        <v>26</v>
      </c>
      <c r="J86">
        <v>80</v>
      </c>
      <c r="K86">
        <v>10</v>
      </c>
      <c r="L86" t="s">
        <v>34</v>
      </c>
      <c r="M86" s="1">
        <v>8.3816156249226292</v>
      </c>
      <c r="N86" t="s">
        <v>42</v>
      </c>
      <c r="O86" t="s">
        <v>60</v>
      </c>
      <c r="P86">
        <v>24</v>
      </c>
      <c r="Q86">
        <v>589</v>
      </c>
      <c r="R86">
        <v>22</v>
      </c>
      <c r="S86" s="1">
        <v>33.808636513209002</v>
      </c>
      <c r="T86" t="s">
        <v>62</v>
      </c>
      <c r="U86">
        <v>4.8434565771180402</v>
      </c>
      <c r="V86" t="s">
        <v>38</v>
      </c>
      <c r="W86" t="s">
        <v>30</v>
      </c>
      <c r="X86">
        <v>465.45700596368698</v>
      </c>
      <c r="Y86" s="3">
        <f>SUM(Table1[Manufacturing costs],Table1[[#This Row],[Shipping costs]],Table1[[#This Row],[Costs]])</f>
        <v>5200.507945735596</v>
      </c>
      <c r="Z86" s="1">
        <f>Table1[[#This Row],[Revenue generated]]-Table1[[#This Row],[total cost]]</f>
        <v>-3152.2178458868862</v>
      </c>
      <c r="AA86" s="4">
        <f>IFERROR(Table1[[#This Row],[Revenue generated]]-Table1[[#This Row],[total cost]]/Table1[[#This Row],[Revenue generated]], 0)</f>
        <v>2045.7511489715271</v>
      </c>
      <c r="AB86">
        <f>SUM(Table1[[#This Row],[Manufacturing lead time]],Table1[[#This Row],[Shipping times]],Table1[[#This Row],[ supplier_Lead times]])</f>
        <v>58</v>
      </c>
      <c r="AC86" s="2" t="str" cm="1">
        <f t="array" ref="AC86">_xlfn.IFS(Table1[[#This Row],[toal lead time]]&gt;50, "high risk",Table1[[#This Row],[toal lead time]]&gt;=30, "moderate", "true", "optimal")</f>
        <v>high risk</v>
      </c>
    </row>
    <row r="87" spans="1:29" x14ac:dyDescent="0.3">
      <c r="A87" t="s">
        <v>55</v>
      </c>
      <c r="B87" t="s">
        <v>137</v>
      </c>
      <c r="C87" s="1">
        <v>76.962994415193805</v>
      </c>
      <c r="D87">
        <v>83</v>
      </c>
      <c r="E87">
        <v>25</v>
      </c>
      <c r="F87" s="1">
        <v>8684.6130592538502</v>
      </c>
      <c r="G87" t="s">
        <v>33</v>
      </c>
      <c r="H87">
        <v>15</v>
      </c>
      <c r="I87">
        <v>18</v>
      </c>
      <c r="J87">
        <v>66</v>
      </c>
      <c r="K87">
        <v>2</v>
      </c>
      <c r="L87" t="s">
        <v>41</v>
      </c>
      <c r="M87" s="1">
        <v>8.2491687048717193</v>
      </c>
      <c r="N87" t="s">
        <v>42</v>
      </c>
      <c r="O87" t="s">
        <v>60</v>
      </c>
      <c r="P87">
        <v>4</v>
      </c>
      <c r="Q87">
        <v>211</v>
      </c>
      <c r="R87">
        <v>2</v>
      </c>
      <c r="S87" s="1">
        <v>69.929345518672307</v>
      </c>
      <c r="T87" t="s">
        <v>44</v>
      </c>
      <c r="U87">
        <v>1.3744289997457499</v>
      </c>
      <c r="V87" t="s">
        <v>29</v>
      </c>
      <c r="W87" t="s">
        <v>30</v>
      </c>
      <c r="X87">
        <v>842.68683000464102</v>
      </c>
      <c r="Y87" s="3">
        <f>SUM(Table1[Manufacturing costs],Table1[[#This Row],[Shipping costs]],Table1[[#This Row],[Costs]])</f>
        <v>5577.6053228564988</v>
      </c>
      <c r="Z87" s="1">
        <f>Table1[[#This Row],[Revenue generated]]-Table1[[#This Row],[total cost]]</f>
        <v>3107.0077363973514</v>
      </c>
      <c r="AA87" s="4">
        <f>IFERROR(Table1[[#This Row],[Revenue generated]]-Table1[[#This Row],[total cost]]/Table1[[#This Row],[Revenue generated]], 0)</f>
        <v>8683.9708193192891</v>
      </c>
      <c r="AB87">
        <f>SUM(Table1[[#This Row],[Manufacturing lead time]],Table1[[#This Row],[Shipping times]],Table1[[#This Row],[ supplier_Lead times]])</f>
        <v>22</v>
      </c>
      <c r="AC87" s="2" t="str" cm="1">
        <f t="array" ref="AC87">_xlfn.IFS(Table1[[#This Row],[toal lead time]]&gt;50, "high risk",Table1[[#This Row],[toal lead time]]&gt;=30, "moderate", "true", "optimal")</f>
        <v>optimal</v>
      </c>
    </row>
    <row r="88" spans="1:29" x14ac:dyDescent="0.3">
      <c r="A88" t="s">
        <v>31</v>
      </c>
      <c r="B88" t="s">
        <v>138</v>
      </c>
      <c r="C88" s="1">
        <v>19.9981769404042</v>
      </c>
      <c r="D88">
        <v>18</v>
      </c>
      <c r="E88">
        <v>223</v>
      </c>
      <c r="F88" s="1">
        <v>1229.59102856498</v>
      </c>
      <c r="G88" t="s">
        <v>36</v>
      </c>
      <c r="H88">
        <v>32</v>
      </c>
      <c r="I88">
        <v>14</v>
      </c>
      <c r="J88">
        <v>22</v>
      </c>
      <c r="K88">
        <v>6</v>
      </c>
      <c r="L88" t="s">
        <v>25</v>
      </c>
      <c r="M88" s="1">
        <v>1.4543053101535499</v>
      </c>
      <c r="N88" t="s">
        <v>37</v>
      </c>
      <c r="O88" t="s">
        <v>27</v>
      </c>
      <c r="P88">
        <v>4</v>
      </c>
      <c r="Q88">
        <v>569</v>
      </c>
      <c r="R88">
        <v>18</v>
      </c>
      <c r="S88" s="1">
        <v>74.608969995194599</v>
      </c>
      <c r="T88" t="s">
        <v>62</v>
      </c>
      <c r="U88">
        <v>2.0515129307662399</v>
      </c>
      <c r="V88" t="s">
        <v>45</v>
      </c>
      <c r="W88" t="s">
        <v>46</v>
      </c>
      <c r="X88">
        <v>264.25488983586598</v>
      </c>
      <c r="Y88" s="3">
        <f>SUM(Table1[Manufacturing costs],Table1[[#This Row],[Shipping costs]],Table1[[#This Row],[Costs]])</f>
        <v>4992.3785192930063</v>
      </c>
      <c r="Z88" s="1">
        <f>Table1[[#This Row],[Revenue generated]]-Table1[[#This Row],[total cost]]</f>
        <v>-3762.7874907280266</v>
      </c>
      <c r="AA88" s="4">
        <f>IFERROR(Table1[[#This Row],[Revenue generated]]-Table1[[#This Row],[total cost]]/Table1[[#This Row],[Revenue generated]], 0)</f>
        <v>1225.5308342375056</v>
      </c>
      <c r="AB88">
        <f>SUM(Table1[[#This Row],[Manufacturing lead time]],Table1[[#This Row],[Shipping times]],Table1[[#This Row],[ supplier_Lead times]])</f>
        <v>38</v>
      </c>
      <c r="AC88" s="2" t="str" cm="1">
        <f t="array" ref="AC88">_xlfn.IFS(Table1[[#This Row],[toal lead time]]&gt;50, "high risk",Table1[[#This Row],[toal lead time]]&gt;=30, "moderate", "true", "optimal")</f>
        <v>moderate</v>
      </c>
    </row>
    <row r="89" spans="1:29" x14ac:dyDescent="0.3">
      <c r="A89" t="s">
        <v>22</v>
      </c>
      <c r="B89" t="s">
        <v>139</v>
      </c>
      <c r="C89" s="1">
        <v>80.414036650355698</v>
      </c>
      <c r="D89">
        <v>24</v>
      </c>
      <c r="E89">
        <v>79</v>
      </c>
      <c r="F89" s="1">
        <v>5133.8467010866898</v>
      </c>
      <c r="G89" t="s">
        <v>53</v>
      </c>
      <c r="H89">
        <v>5</v>
      </c>
      <c r="I89">
        <v>7</v>
      </c>
      <c r="J89">
        <v>55</v>
      </c>
      <c r="K89">
        <v>10</v>
      </c>
      <c r="L89" t="s">
        <v>34</v>
      </c>
      <c r="M89" s="1">
        <v>6.5758037975485299</v>
      </c>
      <c r="N89" t="s">
        <v>26</v>
      </c>
      <c r="O89" t="s">
        <v>60</v>
      </c>
      <c r="P89">
        <v>27</v>
      </c>
      <c r="Q89">
        <v>523</v>
      </c>
      <c r="R89">
        <v>17</v>
      </c>
      <c r="S89" s="1">
        <v>28.696996824143099</v>
      </c>
      <c r="T89" t="s">
        <v>44</v>
      </c>
      <c r="U89">
        <v>3.6937377878392699</v>
      </c>
      <c r="V89" t="s">
        <v>54</v>
      </c>
      <c r="W89" t="s">
        <v>30</v>
      </c>
      <c r="X89">
        <v>879.35921773492396</v>
      </c>
      <c r="Y89" s="3">
        <f>SUM(Table1[Manufacturing costs],Table1[[#This Row],[Shipping costs]],Table1[[#This Row],[Costs]])</f>
        <v>5612.6043456794587</v>
      </c>
      <c r="Z89" s="1">
        <f>Table1[[#This Row],[Revenue generated]]-Table1[[#This Row],[total cost]]</f>
        <v>-478.75764459276888</v>
      </c>
      <c r="AA89" s="4">
        <f>IFERROR(Table1[[#This Row],[Revenue generated]]-Table1[[#This Row],[total cost]]/Table1[[#This Row],[Revenue generated]], 0)</f>
        <v>5132.7534459366107</v>
      </c>
      <c r="AB89">
        <f>SUM(Table1[[#This Row],[Manufacturing lead time]],Table1[[#This Row],[Shipping times]],Table1[[#This Row],[ supplier_Lead times]])</f>
        <v>34</v>
      </c>
      <c r="AC89" s="2" t="str" cm="1">
        <f t="array" ref="AC89">_xlfn.IFS(Table1[[#This Row],[toal lead time]]&gt;50, "high risk",Table1[[#This Row],[toal lead time]]&gt;=30, "moderate", "true", "optimal")</f>
        <v>moderate</v>
      </c>
    </row>
    <row r="90" spans="1:29" x14ac:dyDescent="0.3">
      <c r="A90" t="s">
        <v>55</v>
      </c>
      <c r="B90" t="s">
        <v>140</v>
      </c>
      <c r="C90" s="1">
        <v>75.270406975724995</v>
      </c>
      <c r="D90">
        <v>58</v>
      </c>
      <c r="E90">
        <v>737</v>
      </c>
      <c r="F90" s="1">
        <v>9444.7420330629793</v>
      </c>
      <c r="G90" t="s">
        <v>53</v>
      </c>
      <c r="H90">
        <v>60</v>
      </c>
      <c r="I90">
        <v>18</v>
      </c>
      <c r="J90">
        <v>85</v>
      </c>
      <c r="K90">
        <v>7</v>
      </c>
      <c r="L90" t="s">
        <v>34</v>
      </c>
      <c r="M90" s="1">
        <v>3.8012531329310701</v>
      </c>
      <c r="N90" t="s">
        <v>59</v>
      </c>
      <c r="O90" t="s">
        <v>27</v>
      </c>
      <c r="P90">
        <v>21</v>
      </c>
      <c r="Q90">
        <v>953</v>
      </c>
      <c r="R90">
        <v>11</v>
      </c>
      <c r="S90" s="1">
        <v>68.1849190570411</v>
      </c>
      <c r="T90" t="s">
        <v>28</v>
      </c>
      <c r="U90">
        <v>0.722204401882931</v>
      </c>
      <c r="V90" t="s">
        <v>54</v>
      </c>
      <c r="W90" t="s">
        <v>46</v>
      </c>
      <c r="X90">
        <v>103.916247960704</v>
      </c>
      <c r="Y90" s="3">
        <f>SUM(Table1[Manufacturing costs],Table1[[#This Row],[Shipping costs]],Table1[[#This Row],[Costs]])</f>
        <v>4834.3868252406219</v>
      </c>
      <c r="Z90" s="1">
        <f>Table1[[#This Row],[Revenue generated]]-Table1[[#This Row],[total cost]]</f>
        <v>4610.3552078223574</v>
      </c>
      <c r="AA90" s="4">
        <f>IFERROR(Table1[[#This Row],[Revenue generated]]-Table1[[#This Row],[total cost]]/Table1[[#This Row],[Revenue generated]], 0)</f>
        <v>9444.2301729392912</v>
      </c>
      <c r="AB90">
        <f>SUM(Table1[[#This Row],[Manufacturing lead time]],Table1[[#This Row],[Shipping times]],Table1[[#This Row],[ supplier_Lead times]])</f>
        <v>36</v>
      </c>
      <c r="AC90" s="2" t="str" cm="1">
        <f t="array" ref="AC90">_xlfn.IFS(Table1[[#This Row],[toal lead time]]&gt;50, "high risk",Table1[[#This Row],[toal lead time]]&gt;=30, "moderate", "true", "optimal")</f>
        <v>moderate</v>
      </c>
    </row>
    <row r="91" spans="1:29" x14ac:dyDescent="0.3">
      <c r="A91" t="s">
        <v>55</v>
      </c>
      <c r="B91" t="s">
        <v>141</v>
      </c>
      <c r="C91" s="1">
        <v>97.760085581938597</v>
      </c>
      <c r="D91">
        <v>10</v>
      </c>
      <c r="E91">
        <v>134</v>
      </c>
      <c r="F91" s="1">
        <v>5924.6825668532301</v>
      </c>
      <c r="G91" t="s">
        <v>36</v>
      </c>
      <c r="H91">
        <v>90</v>
      </c>
      <c r="I91">
        <v>1</v>
      </c>
      <c r="J91">
        <v>27</v>
      </c>
      <c r="K91">
        <v>8</v>
      </c>
      <c r="L91" t="s">
        <v>25</v>
      </c>
      <c r="M91" s="1">
        <v>9.9298162452772498</v>
      </c>
      <c r="N91" t="s">
        <v>37</v>
      </c>
      <c r="O91" t="s">
        <v>43</v>
      </c>
      <c r="P91">
        <v>23</v>
      </c>
      <c r="Q91">
        <v>370</v>
      </c>
      <c r="R91">
        <v>11</v>
      </c>
      <c r="S91" s="1">
        <v>46.603873381644398</v>
      </c>
      <c r="T91" t="s">
        <v>28</v>
      </c>
      <c r="U91">
        <v>1.9076657339590699</v>
      </c>
      <c r="V91" t="s">
        <v>45</v>
      </c>
      <c r="W91" t="s">
        <v>30</v>
      </c>
      <c r="X91">
        <v>517.49997392906005</v>
      </c>
      <c r="Y91" s="3">
        <f>SUM(Table1[Manufacturing costs],Table1[[#This Row],[Shipping costs]],Table1[[#This Row],[Costs]])</f>
        <v>5254.0991143213232</v>
      </c>
      <c r="Z91" s="1">
        <f>Table1[[#This Row],[Revenue generated]]-Table1[[#This Row],[total cost]]</f>
        <v>670.58345253190691</v>
      </c>
      <c r="AA91" s="4">
        <f>IFERROR(Table1[[#This Row],[Revenue generated]]-Table1[[#This Row],[total cost]]/Table1[[#This Row],[Revenue generated]], 0)</f>
        <v>5923.7957515589023</v>
      </c>
      <c r="AB91">
        <f>SUM(Table1[[#This Row],[Manufacturing lead time]],Table1[[#This Row],[Shipping times]],Table1[[#This Row],[ supplier_Lead times]])</f>
        <v>20</v>
      </c>
      <c r="AC91" s="2" t="str" cm="1">
        <f t="array" ref="AC91">_xlfn.IFS(Table1[[#This Row],[toal lead time]]&gt;50, "high risk",Table1[[#This Row],[toal lead time]]&gt;=30, "moderate", "true", "optimal")</f>
        <v>optimal</v>
      </c>
    </row>
    <row r="92" spans="1:29" x14ac:dyDescent="0.3">
      <c r="A92" t="s">
        <v>31</v>
      </c>
      <c r="B92" t="s">
        <v>142</v>
      </c>
      <c r="C92" s="1">
        <v>13.881913501359101</v>
      </c>
      <c r="D92">
        <v>56</v>
      </c>
      <c r="E92">
        <v>320</v>
      </c>
      <c r="F92" s="1">
        <v>9592.6335702803099</v>
      </c>
      <c r="G92" t="s">
        <v>24</v>
      </c>
      <c r="H92">
        <v>66</v>
      </c>
      <c r="I92">
        <v>18</v>
      </c>
      <c r="J92">
        <v>96</v>
      </c>
      <c r="K92">
        <v>7</v>
      </c>
      <c r="L92" t="s">
        <v>25</v>
      </c>
      <c r="M92" s="1">
        <v>7.6744307081126903</v>
      </c>
      <c r="N92" t="s">
        <v>26</v>
      </c>
      <c r="O92" t="s">
        <v>51</v>
      </c>
      <c r="P92">
        <v>8</v>
      </c>
      <c r="Q92">
        <v>585</v>
      </c>
      <c r="R92">
        <v>8</v>
      </c>
      <c r="S92" s="1">
        <v>85.675963335797903</v>
      </c>
      <c r="T92" t="s">
        <v>62</v>
      </c>
      <c r="U92">
        <v>1.2193822244013801</v>
      </c>
      <c r="V92" t="s">
        <v>45</v>
      </c>
      <c r="W92" t="s">
        <v>30</v>
      </c>
      <c r="X92">
        <v>990.07847250581096</v>
      </c>
      <c r="Y92" s="3">
        <f>SUM(Table1[Manufacturing costs],Table1[[#This Row],[Shipping costs]],Table1[[#This Row],[Costs]])</f>
        <v>5724.4222273609103</v>
      </c>
      <c r="Z92" s="1">
        <f>Table1[[#This Row],[Revenue generated]]-Table1[[#This Row],[total cost]]</f>
        <v>3868.2113429193996</v>
      </c>
      <c r="AA92" s="4">
        <f>IFERROR(Table1[[#This Row],[Revenue generated]]-Table1[[#This Row],[total cost]]/Table1[[#This Row],[Revenue generated]], 0)</f>
        <v>9592.0368183888277</v>
      </c>
      <c r="AB92">
        <f>SUM(Table1[[#This Row],[Manufacturing lead time]],Table1[[#This Row],[Shipping times]],Table1[[#This Row],[ supplier_Lead times]])</f>
        <v>33</v>
      </c>
      <c r="AC92" s="2" t="str" cm="1">
        <f t="array" ref="AC92">_xlfn.IFS(Table1[[#This Row],[toal lead time]]&gt;50, "high risk",Table1[[#This Row],[toal lead time]]&gt;=30, "moderate", "true", "optimal")</f>
        <v>moderate</v>
      </c>
    </row>
    <row r="93" spans="1:29" x14ac:dyDescent="0.3">
      <c r="A93" t="s">
        <v>55</v>
      </c>
      <c r="B93" t="s">
        <v>143</v>
      </c>
      <c r="C93" s="1">
        <v>62.111965463961702</v>
      </c>
      <c r="D93">
        <v>90</v>
      </c>
      <c r="E93">
        <v>916</v>
      </c>
      <c r="F93" s="1">
        <v>1935.20679350759</v>
      </c>
      <c r="G93" t="s">
        <v>53</v>
      </c>
      <c r="H93">
        <v>98</v>
      </c>
      <c r="I93">
        <v>22</v>
      </c>
      <c r="J93">
        <v>85</v>
      </c>
      <c r="K93">
        <v>7</v>
      </c>
      <c r="L93" t="s">
        <v>25</v>
      </c>
      <c r="M93" s="1">
        <v>7.4715140844011403</v>
      </c>
      <c r="N93" t="s">
        <v>50</v>
      </c>
      <c r="O93" t="s">
        <v>48</v>
      </c>
      <c r="P93">
        <v>5</v>
      </c>
      <c r="Q93">
        <v>207</v>
      </c>
      <c r="R93">
        <v>28</v>
      </c>
      <c r="S93" s="1">
        <v>39.772882502339897</v>
      </c>
      <c r="T93" t="s">
        <v>28</v>
      </c>
      <c r="U93">
        <v>0.62600185820939402</v>
      </c>
      <c r="V93" t="s">
        <v>45</v>
      </c>
      <c r="W93" t="s">
        <v>30</v>
      </c>
      <c r="X93">
        <v>996.77831495062298</v>
      </c>
      <c r="Y93" s="3">
        <f>SUM(Table1[Manufacturing costs],Table1[[#This Row],[Shipping costs]],Table1[[#This Row],[Costs]])</f>
        <v>5730.9191531820106</v>
      </c>
      <c r="Z93" s="1">
        <f>Table1[[#This Row],[Revenue generated]]-Table1[[#This Row],[total cost]]</f>
        <v>-3795.7123596744204</v>
      </c>
      <c r="AA93" s="4">
        <f>IFERROR(Table1[[#This Row],[Revenue generated]]-Table1[[#This Row],[total cost]]/Table1[[#This Row],[Revenue generated]], 0)</f>
        <v>1932.2453946677304</v>
      </c>
      <c r="AB93">
        <f>SUM(Table1[[#This Row],[Manufacturing lead time]],Table1[[#This Row],[Shipping times]],Table1[[#This Row],[ supplier_Lead times]])</f>
        <v>57</v>
      </c>
      <c r="AC93" s="2" t="str" cm="1">
        <f t="array" ref="AC93">_xlfn.IFS(Table1[[#This Row],[toal lead time]]&gt;50, "high risk",Table1[[#This Row],[toal lead time]]&gt;=30, "moderate", "true", "optimal")</f>
        <v>high risk</v>
      </c>
    </row>
    <row r="94" spans="1:29" x14ac:dyDescent="0.3">
      <c r="A94" t="s">
        <v>55</v>
      </c>
      <c r="B94" t="s">
        <v>144</v>
      </c>
      <c r="C94" s="1">
        <v>47.714233075820196</v>
      </c>
      <c r="D94">
        <v>44</v>
      </c>
      <c r="E94">
        <v>276</v>
      </c>
      <c r="F94" s="1">
        <v>2100.1297546259302</v>
      </c>
      <c r="G94" t="s">
        <v>53</v>
      </c>
      <c r="H94">
        <v>90</v>
      </c>
      <c r="I94">
        <v>25</v>
      </c>
      <c r="J94">
        <v>10</v>
      </c>
      <c r="K94">
        <v>8</v>
      </c>
      <c r="L94" t="s">
        <v>25</v>
      </c>
      <c r="M94" s="1">
        <v>4.4695000261236002</v>
      </c>
      <c r="N94" t="s">
        <v>59</v>
      </c>
      <c r="O94" t="s">
        <v>27</v>
      </c>
      <c r="P94">
        <v>4</v>
      </c>
      <c r="Q94">
        <v>671</v>
      </c>
      <c r="R94">
        <v>29</v>
      </c>
      <c r="S94" s="1">
        <v>62.612690395614301</v>
      </c>
      <c r="T94" t="s">
        <v>62</v>
      </c>
      <c r="U94">
        <v>0.33343182522473902</v>
      </c>
      <c r="V94" t="s">
        <v>45</v>
      </c>
      <c r="W94" t="s">
        <v>30</v>
      </c>
      <c r="X94">
        <v>230.092782536762</v>
      </c>
      <c r="Y94" s="3">
        <f>SUM(Table1[Manufacturing costs],Table1[[#This Row],[Shipping costs]],Table1[[#This Row],[Costs]])</f>
        <v>4961.2316067098718</v>
      </c>
      <c r="Z94" s="1">
        <f>Table1[[#This Row],[Revenue generated]]-Table1[[#This Row],[total cost]]</f>
        <v>-2861.1018520839416</v>
      </c>
      <c r="AA94" s="4">
        <f>IFERROR(Table1[[#This Row],[Revenue generated]]-Table1[[#This Row],[total cost]]/Table1[[#This Row],[Revenue generated]], 0)</f>
        <v>2097.7674093490341</v>
      </c>
      <c r="AB94">
        <f>SUM(Table1[[#This Row],[Manufacturing lead time]],Table1[[#This Row],[Shipping times]],Table1[[#This Row],[ supplier_Lead times]])</f>
        <v>62</v>
      </c>
      <c r="AC94" s="2" t="str" cm="1">
        <f t="array" ref="AC94">_xlfn.IFS(Table1[[#This Row],[toal lead time]]&gt;50, "high risk",Table1[[#This Row],[toal lead time]]&gt;=30, "moderate", "true", "optimal")</f>
        <v>high risk</v>
      </c>
    </row>
    <row r="95" spans="1:29" x14ac:dyDescent="0.3">
      <c r="A95" t="s">
        <v>22</v>
      </c>
      <c r="B95" t="s">
        <v>145</v>
      </c>
      <c r="C95" s="1">
        <v>69.290831002905406</v>
      </c>
      <c r="D95">
        <v>88</v>
      </c>
      <c r="E95">
        <v>114</v>
      </c>
      <c r="F95" s="1">
        <v>4531.4021336919004</v>
      </c>
      <c r="G95" t="s">
        <v>36</v>
      </c>
      <c r="H95">
        <v>63</v>
      </c>
      <c r="I95">
        <v>17</v>
      </c>
      <c r="J95">
        <v>66</v>
      </c>
      <c r="K95">
        <v>1</v>
      </c>
      <c r="L95" t="s">
        <v>41</v>
      </c>
      <c r="M95" s="1">
        <v>7.00643205900439</v>
      </c>
      <c r="N95" t="s">
        <v>50</v>
      </c>
      <c r="O95" t="s">
        <v>60</v>
      </c>
      <c r="P95">
        <v>21</v>
      </c>
      <c r="Q95">
        <v>824</v>
      </c>
      <c r="R95">
        <v>20</v>
      </c>
      <c r="S95" s="1">
        <v>35.633652343343797</v>
      </c>
      <c r="T95" t="s">
        <v>44</v>
      </c>
      <c r="U95">
        <v>4.1657817954241398</v>
      </c>
      <c r="V95" t="s">
        <v>38</v>
      </c>
      <c r="W95" t="s">
        <v>46</v>
      </c>
      <c r="X95">
        <v>823.52384588815505</v>
      </c>
      <c r="Y95" s="3">
        <f>SUM(Table1[Manufacturing costs],Table1[[#This Row],[Shipping costs]],Table1[[#This Row],[Costs]])</f>
        <v>5557.199602094146</v>
      </c>
      <c r="Z95" s="1">
        <f>Table1[[#This Row],[Revenue generated]]-Table1[[#This Row],[total cost]]</f>
        <v>-1025.7974684022456</v>
      </c>
      <c r="AA95" s="4">
        <f>IFERROR(Table1[[#This Row],[Revenue generated]]-Table1[[#This Row],[total cost]]/Table1[[#This Row],[Revenue generated]], 0)</f>
        <v>4530.1757584027209</v>
      </c>
      <c r="AB95">
        <f>SUM(Table1[[#This Row],[Manufacturing lead time]],Table1[[#This Row],[Shipping times]],Table1[[#This Row],[ supplier_Lead times]])</f>
        <v>38</v>
      </c>
      <c r="AC95" s="2" t="str" cm="1">
        <f t="array" ref="AC95">_xlfn.IFS(Table1[[#This Row],[toal lead time]]&gt;50, "high risk",Table1[[#This Row],[toal lead time]]&gt;=30, "moderate", "true", "optimal")</f>
        <v>moderate</v>
      </c>
    </row>
    <row r="96" spans="1:29" x14ac:dyDescent="0.3">
      <c r="A96" t="s">
        <v>55</v>
      </c>
      <c r="B96" t="s">
        <v>146</v>
      </c>
      <c r="C96" s="1">
        <v>3.0376887246314102</v>
      </c>
      <c r="D96">
        <v>97</v>
      </c>
      <c r="E96">
        <v>987</v>
      </c>
      <c r="F96" s="1">
        <v>7888.3565466618702</v>
      </c>
      <c r="G96" t="s">
        <v>36</v>
      </c>
      <c r="H96">
        <v>77</v>
      </c>
      <c r="I96">
        <v>26</v>
      </c>
      <c r="J96">
        <v>72</v>
      </c>
      <c r="K96">
        <v>9</v>
      </c>
      <c r="L96" t="s">
        <v>25</v>
      </c>
      <c r="M96" s="1">
        <v>6.9429459420325799</v>
      </c>
      <c r="N96" t="s">
        <v>59</v>
      </c>
      <c r="O96" t="s">
        <v>48</v>
      </c>
      <c r="P96">
        <v>12</v>
      </c>
      <c r="Q96">
        <v>908</v>
      </c>
      <c r="R96">
        <v>14</v>
      </c>
      <c r="S96" s="1">
        <v>60.387378614862101</v>
      </c>
      <c r="T96" t="s">
        <v>62</v>
      </c>
      <c r="U96">
        <v>1.4636074984727701</v>
      </c>
      <c r="V96" t="s">
        <v>45</v>
      </c>
      <c r="W96" t="s">
        <v>30</v>
      </c>
      <c r="X96">
        <v>846.66525698669398</v>
      </c>
      <c r="Y96" s="3">
        <f>SUM(Table1[Manufacturing costs],Table1[[#This Row],[Shipping costs]],Table1[[#This Row],[Costs]])</f>
        <v>5580.2775270757129</v>
      </c>
      <c r="Z96" s="1">
        <f>Table1[[#This Row],[Revenue generated]]-Table1[[#This Row],[total cost]]</f>
        <v>2308.0790195861573</v>
      </c>
      <c r="AA96" s="4">
        <f>IFERROR(Table1[[#This Row],[Revenue generated]]-Table1[[#This Row],[total cost]]/Table1[[#This Row],[Revenue generated]], 0)</f>
        <v>7887.6491398029048</v>
      </c>
      <c r="AB96">
        <f>SUM(Table1[[#This Row],[Manufacturing lead time]],Table1[[#This Row],[Shipping times]],Table1[[#This Row],[ supplier_Lead times]])</f>
        <v>49</v>
      </c>
      <c r="AC96" s="2" t="str" cm="1">
        <f t="array" ref="AC96">_xlfn.IFS(Table1[[#This Row],[toal lead time]]&gt;50, "high risk",Table1[[#This Row],[toal lead time]]&gt;=30, "moderate", "true", "optimal")</f>
        <v>moderate</v>
      </c>
    </row>
    <row r="97" spans="1:29" x14ac:dyDescent="0.3">
      <c r="A97" t="s">
        <v>22</v>
      </c>
      <c r="B97" t="s">
        <v>147</v>
      </c>
      <c r="C97" s="1">
        <v>77.903927219447695</v>
      </c>
      <c r="D97">
        <v>65</v>
      </c>
      <c r="E97">
        <v>672</v>
      </c>
      <c r="F97" s="1">
        <v>7386.3639440486604</v>
      </c>
      <c r="G97" t="s">
        <v>36</v>
      </c>
      <c r="H97">
        <v>15</v>
      </c>
      <c r="I97">
        <v>14</v>
      </c>
      <c r="J97">
        <v>26</v>
      </c>
      <c r="K97">
        <v>9</v>
      </c>
      <c r="L97" t="s">
        <v>25</v>
      </c>
      <c r="M97" s="1">
        <v>8.6303388696027508</v>
      </c>
      <c r="N97" t="s">
        <v>50</v>
      </c>
      <c r="O97" t="s">
        <v>27</v>
      </c>
      <c r="P97">
        <v>18</v>
      </c>
      <c r="Q97">
        <v>450</v>
      </c>
      <c r="R97">
        <v>26</v>
      </c>
      <c r="S97" s="1">
        <v>58.890685768589897</v>
      </c>
      <c r="T97" t="s">
        <v>28</v>
      </c>
      <c r="U97">
        <v>1.21088212958506</v>
      </c>
      <c r="V97" t="s">
        <v>38</v>
      </c>
      <c r="W97" t="s">
        <v>46</v>
      </c>
      <c r="X97">
        <v>778.86424137664699</v>
      </c>
      <c r="Y97" s="3">
        <f>SUM(Table1[Manufacturing costs],Table1[[#This Row],[Shipping costs]],Table1[[#This Row],[Costs]])</f>
        <v>5514.1639043932355</v>
      </c>
      <c r="Z97" s="1">
        <f>Table1[[#This Row],[Revenue generated]]-Table1[[#This Row],[total cost]]</f>
        <v>1872.2000396554249</v>
      </c>
      <c r="AA97" s="4">
        <f>IFERROR(Table1[[#This Row],[Revenue generated]]-Table1[[#This Row],[total cost]]/Table1[[#This Row],[Revenue generated]], 0)</f>
        <v>7385.6174111203936</v>
      </c>
      <c r="AB97">
        <f>SUM(Table1[[#This Row],[Manufacturing lead time]],Table1[[#This Row],[Shipping times]],Table1[[#This Row],[ supplier_Lead times]])</f>
        <v>49</v>
      </c>
      <c r="AC97" s="2" t="str" cm="1">
        <f t="array" ref="AC97">_xlfn.IFS(Table1[[#This Row],[toal lead time]]&gt;50, "high risk",Table1[[#This Row],[toal lead time]]&gt;=30, "moderate", "true", "optimal")</f>
        <v>moderate</v>
      </c>
    </row>
    <row r="98" spans="1:29" x14ac:dyDescent="0.3">
      <c r="A98" t="s">
        <v>55</v>
      </c>
      <c r="B98" t="s">
        <v>148</v>
      </c>
      <c r="C98" s="1">
        <v>24.423131420373299</v>
      </c>
      <c r="D98">
        <v>29</v>
      </c>
      <c r="E98">
        <v>324</v>
      </c>
      <c r="F98" s="1">
        <v>7698.4247656321104</v>
      </c>
      <c r="G98" t="s">
        <v>24</v>
      </c>
      <c r="H98">
        <v>67</v>
      </c>
      <c r="I98">
        <v>2</v>
      </c>
      <c r="J98">
        <v>32</v>
      </c>
      <c r="K98">
        <v>3</v>
      </c>
      <c r="L98" t="s">
        <v>41</v>
      </c>
      <c r="M98" s="1">
        <v>5.3528780439967996</v>
      </c>
      <c r="N98" t="s">
        <v>26</v>
      </c>
      <c r="O98" t="s">
        <v>27</v>
      </c>
      <c r="P98">
        <v>28</v>
      </c>
      <c r="Q98">
        <v>648</v>
      </c>
      <c r="R98">
        <v>28</v>
      </c>
      <c r="S98" s="1">
        <v>17.803756331391199</v>
      </c>
      <c r="T98" t="s">
        <v>28</v>
      </c>
      <c r="U98">
        <v>3.8720476814821301</v>
      </c>
      <c r="V98" t="s">
        <v>29</v>
      </c>
      <c r="W98" t="s">
        <v>46</v>
      </c>
      <c r="X98">
        <v>188.74214114905601</v>
      </c>
      <c r="Y98" s="3">
        <f>SUM(Table1[Manufacturing costs],Table1[[#This Row],[Shipping costs]],Table1[[#This Row],[Costs]])</f>
        <v>4920.764343340039</v>
      </c>
      <c r="Z98" s="1">
        <f>Table1[[#This Row],[Revenue generated]]-Table1[[#This Row],[total cost]]</f>
        <v>2777.6604222920714</v>
      </c>
      <c r="AA98" s="4">
        <f>IFERROR(Table1[[#This Row],[Revenue generated]]-Table1[[#This Row],[total cost]]/Table1[[#This Row],[Revenue generated]], 0)</f>
        <v>7697.7855745646975</v>
      </c>
      <c r="AB98">
        <f>SUM(Table1[[#This Row],[Manufacturing lead time]],Table1[[#This Row],[Shipping times]],Table1[[#This Row],[ supplier_Lead times]])</f>
        <v>33</v>
      </c>
      <c r="AC98" s="2" t="str" cm="1">
        <f t="array" ref="AC98">_xlfn.IFS(Table1[[#This Row],[toal lead time]]&gt;50, "high risk",Table1[[#This Row],[toal lead time]]&gt;=30, "moderate", "true", "optimal")</f>
        <v>moderate</v>
      </c>
    </row>
    <row r="99" spans="1:29" x14ac:dyDescent="0.3">
      <c r="A99" t="s">
        <v>22</v>
      </c>
      <c r="B99" t="s">
        <v>149</v>
      </c>
      <c r="C99" s="1">
        <v>3.5261112591434101</v>
      </c>
      <c r="D99">
        <v>56</v>
      </c>
      <c r="E99">
        <v>62</v>
      </c>
      <c r="F99" s="1">
        <v>4370.9165799845296</v>
      </c>
      <c r="G99" t="s">
        <v>53</v>
      </c>
      <c r="H99">
        <v>46</v>
      </c>
      <c r="I99">
        <v>19</v>
      </c>
      <c r="J99">
        <v>4</v>
      </c>
      <c r="K99">
        <v>9</v>
      </c>
      <c r="L99" t="s">
        <v>34</v>
      </c>
      <c r="M99" s="1">
        <v>7.9048456112096703</v>
      </c>
      <c r="N99" t="s">
        <v>50</v>
      </c>
      <c r="O99" t="s">
        <v>27</v>
      </c>
      <c r="P99">
        <v>10</v>
      </c>
      <c r="Q99">
        <v>535</v>
      </c>
      <c r="R99">
        <v>13</v>
      </c>
      <c r="S99" s="1">
        <v>65.765155926367399</v>
      </c>
      <c r="T99" t="s">
        <v>44</v>
      </c>
      <c r="U99">
        <v>3.3762378347179798</v>
      </c>
      <c r="V99" t="s">
        <v>29</v>
      </c>
      <c r="W99" t="s">
        <v>46</v>
      </c>
      <c r="X99">
        <v>540.13242286796697</v>
      </c>
      <c r="Y99" s="3">
        <f>SUM(Table1[Manufacturing costs],Table1[[#This Row],[Shipping costs]],Table1[[#This Row],[Costs]])</f>
        <v>5274.706592626163</v>
      </c>
      <c r="Z99" s="1">
        <f>Table1[[#This Row],[Revenue generated]]-Table1[[#This Row],[total cost]]</f>
        <v>-903.79001264163344</v>
      </c>
      <c r="AA99" s="4">
        <f>IFERROR(Table1[[#This Row],[Revenue generated]]-Table1[[#This Row],[total cost]]/Table1[[#This Row],[Revenue generated]], 0)</f>
        <v>4369.7098064174525</v>
      </c>
      <c r="AB99">
        <f>SUM(Table1[[#This Row],[Manufacturing lead time]],Table1[[#This Row],[Shipping times]],Table1[[#This Row],[ supplier_Lead times]])</f>
        <v>41</v>
      </c>
      <c r="AC99" s="2" t="str" cm="1">
        <f t="array" ref="AC99">_xlfn.IFS(Table1[[#This Row],[toal lead time]]&gt;50, "high risk",Table1[[#This Row],[toal lead time]]&gt;=30, "moderate", "true", "optimal")</f>
        <v>moderate</v>
      </c>
    </row>
    <row r="100" spans="1:29" x14ac:dyDescent="0.3">
      <c r="A100" t="s">
        <v>31</v>
      </c>
      <c r="B100" t="s">
        <v>150</v>
      </c>
      <c r="C100" s="1">
        <v>19.754604866878601</v>
      </c>
      <c r="D100">
        <v>43</v>
      </c>
      <c r="E100">
        <v>913</v>
      </c>
      <c r="F100" s="1">
        <v>8525.9525596835192</v>
      </c>
      <c r="G100" t="s">
        <v>33</v>
      </c>
      <c r="H100">
        <v>53</v>
      </c>
      <c r="I100">
        <v>1</v>
      </c>
      <c r="J100">
        <v>27</v>
      </c>
      <c r="K100">
        <v>7</v>
      </c>
      <c r="L100" t="s">
        <v>25</v>
      </c>
      <c r="M100" s="1">
        <v>1.4098010951380699</v>
      </c>
      <c r="N100" t="s">
        <v>42</v>
      </c>
      <c r="O100" t="s">
        <v>60</v>
      </c>
      <c r="P100">
        <v>28</v>
      </c>
      <c r="Q100">
        <v>581</v>
      </c>
      <c r="R100">
        <v>9</v>
      </c>
      <c r="S100" s="1">
        <v>5.6046908643717801</v>
      </c>
      <c r="T100" t="s">
        <v>28</v>
      </c>
      <c r="U100">
        <v>2.9081221693512598</v>
      </c>
      <c r="V100" t="s">
        <v>45</v>
      </c>
      <c r="W100" t="s">
        <v>46</v>
      </c>
      <c r="X100">
        <v>882.19886354704101</v>
      </c>
      <c r="Y100" s="3">
        <f>SUM(Table1[Manufacturing costs],Table1[[#This Row],[Shipping costs]],Table1[[#This Row],[Costs]])</f>
        <v>5610.2779887891656</v>
      </c>
      <c r="Z100" s="1">
        <f>Table1[[#This Row],[Revenue generated]]-Table1[[#This Row],[total cost]]</f>
        <v>2915.6745708943536</v>
      </c>
      <c r="AA100" s="4">
        <f>IFERROR(Table1[[#This Row],[Revenue generated]]-Table1[[#This Row],[total cost]]/Table1[[#This Row],[Revenue generated]], 0)</f>
        <v>8525.2945360844533</v>
      </c>
      <c r="AB100">
        <f>SUM(Table1[[#This Row],[Manufacturing lead time]],Table1[[#This Row],[Shipping times]],Table1[[#This Row],[ supplier_Lead times]])</f>
        <v>17</v>
      </c>
      <c r="AC100" s="2" t="str" cm="1">
        <f t="array" ref="AC100">_xlfn.IFS(Table1[[#This Row],[toal lead time]]&gt;50, "high risk",Table1[[#This Row],[toal lead time]]&gt;=30, "moderate", "true", "optimal")</f>
        <v>optimal</v>
      </c>
    </row>
    <row r="101" spans="1:29" x14ac:dyDescent="0.3">
      <c r="A101" t="s">
        <v>22</v>
      </c>
      <c r="B101" t="s">
        <v>151</v>
      </c>
      <c r="C101" s="1">
        <v>68.517832699276596</v>
      </c>
      <c r="D101">
        <v>17</v>
      </c>
      <c r="E101">
        <v>627</v>
      </c>
      <c r="F101" s="1">
        <v>9185.1858291817007</v>
      </c>
      <c r="G101" t="s">
        <v>36</v>
      </c>
      <c r="H101">
        <v>55</v>
      </c>
      <c r="I101">
        <v>8</v>
      </c>
      <c r="J101">
        <v>59</v>
      </c>
      <c r="K101">
        <v>6</v>
      </c>
      <c r="L101" t="s">
        <v>25</v>
      </c>
      <c r="M101" s="1">
        <v>1.3110237561206199</v>
      </c>
      <c r="N101" t="s">
        <v>59</v>
      </c>
      <c r="O101" t="s">
        <v>60</v>
      </c>
      <c r="P101">
        <v>29</v>
      </c>
      <c r="Q101">
        <v>921</v>
      </c>
      <c r="R101">
        <v>2</v>
      </c>
      <c r="S101" s="1">
        <v>38.072898520625998</v>
      </c>
      <c r="T101" t="s">
        <v>44</v>
      </c>
      <c r="U101">
        <v>0.34602729070550298</v>
      </c>
      <c r="V101" t="s">
        <v>45</v>
      </c>
      <c r="W101" t="s">
        <v>30</v>
      </c>
      <c r="X101">
        <v>210.743008964246</v>
      </c>
      <c r="Y101" s="3">
        <f>SUM(Table1[Manufacturing costs],Table1[[#This Row],[Shipping costs]],Table1[[#This Row],[Costs]])</f>
        <v>4938.7233568673528</v>
      </c>
      <c r="Z101" s="1">
        <f>Table1[[#This Row],[Revenue generated]]-Table1[[#This Row],[total cost]]</f>
        <v>4246.4624723143479</v>
      </c>
      <c r="AA101" s="4">
        <f>IFERROR(Table1[[#This Row],[Revenue generated]]-Table1[[#This Row],[total cost]]/Table1[[#This Row],[Revenue generated]], 0)</f>
        <v>9184.6481456281272</v>
      </c>
      <c r="AB101">
        <f>SUM(Table1[[#This Row],[Manufacturing lead time]],Table1[[#This Row],[Shipping times]],Table1[[#This Row],[ supplier_Lead times]])</f>
        <v>16</v>
      </c>
      <c r="AC101" s="2" t="str" cm="1">
        <f t="array" ref="AC101">_xlfn.IFS(Table1[[#This Row],[toal lead time]]&gt;50, "high risk",Table1[[#This Row],[toal lead time]]&gt;=30, "moderate", "true", "optimal")</f>
        <v>optimal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D8F-6377-4B43-8552-208E2A6D7189}">
  <sheetPr>
    <tabColor theme="1" tint="0.499984740745262"/>
  </sheetPr>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61CF-0100-4E33-B940-1FA8912E8839}">
  <sheetPr>
    <tabColor theme="2" tint="-0.499984740745262"/>
  </sheetPr>
  <dimension ref="A1"/>
  <sheetViews>
    <sheetView tabSelected="1" topLeftCell="A14" zoomScale="72" workbookViewId="0">
      <selection activeCell="X34" sqref="X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712A-A869-40D1-8595-815E41E576C2}">
  <sheetPr>
    <tabColor theme="1" tint="0.34998626667073579"/>
  </sheetPr>
  <dimension ref="A3:X24"/>
  <sheetViews>
    <sheetView topLeftCell="AB1" zoomScale="84" workbookViewId="0">
      <selection activeCell="AM13" sqref="AM13"/>
    </sheetView>
  </sheetViews>
  <sheetFormatPr defaultRowHeight="14.4" x14ac:dyDescent="0.3"/>
  <cols>
    <col min="1" max="1" width="24.109375" bestFit="1" customWidth="1"/>
    <col min="2" max="2" width="28.77734375" bestFit="1" customWidth="1"/>
    <col min="3" max="3" width="20.77734375" bestFit="1" customWidth="1"/>
    <col min="4" max="4" width="31.88671875" bestFit="1" customWidth="1"/>
    <col min="6" max="6" width="12.6640625" bestFit="1" customWidth="1"/>
    <col min="7" max="7" width="24.109375" bestFit="1" customWidth="1"/>
    <col min="8" max="8" width="28.77734375" bestFit="1" customWidth="1"/>
    <col min="11" max="11" width="12.6640625" bestFit="1" customWidth="1"/>
    <col min="12" max="12" width="22.88671875" bestFit="1" customWidth="1"/>
    <col min="13" max="13" width="23.21875" bestFit="1" customWidth="1"/>
    <col min="16" max="16" width="12.6640625" bestFit="1" customWidth="1"/>
    <col min="17" max="17" width="20.77734375" bestFit="1" customWidth="1"/>
    <col min="18" max="18" width="28.21875" bestFit="1" customWidth="1"/>
    <col min="19" max="19" width="12.21875" bestFit="1" customWidth="1"/>
    <col min="21" max="21" width="12.5546875" bestFit="1" customWidth="1"/>
    <col min="22" max="22" width="9.21875" bestFit="1" customWidth="1"/>
    <col min="23" max="23" width="12" bestFit="1" customWidth="1"/>
    <col min="24" max="24" width="21.33203125" bestFit="1" customWidth="1"/>
  </cols>
  <sheetData>
    <row r="3" spans="1:24" x14ac:dyDescent="0.3">
      <c r="A3" t="s">
        <v>159</v>
      </c>
      <c r="B3" t="s">
        <v>160</v>
      </c>
      <c r="C3" t="s">
        <v>161</v>
      </c>
      <c r="D3" t="s">
        <v>162</v>
      </c>
      <c r="F3" s="6" t="s">
        <v>163</v>
      </c>
      <c r="G3" t="s">
        <v>159</v>
      </c>
      <c r="H3" t="s">
        <v>160</v>
      </c>
      <c r="K3" s="6" t="s">
        <v>163</v>
      </c>
      <c r="L3" t="s">
        <v>165</v>
      </c>
      <c r="M3" t="s">
        <v>166</v>
      </c>
      <c r="P3" s="6" t="s">
        <v>163</v>
      </c>
      <c r="Q3" t="s">
        <v>161</v>
      </c>
      <c r="R3" t="s">
        <v>168</v>
      </c>
      <c r="S3" t="s">
        <v>167</v>
      </c>
      <c r="U3" s="6" t="s">
        <v>13</v>
      </c>
      <c r="V3" s="6" t="s">
        <v>20</v>
      </c>
      <c r="W3" t="s">
        <v>170</v>
      </c>
      <c r="X3" t="s">
        <v>169</v>
      </c>
    </row>
    <row r="4" spans="1:24" x14ac:dyDescent="0.3">
      <c r="A4" s="5">
        <v>577604.81873800792</v>
      </c>
      <c r="B4" s="3">
        <v>46099</v>
      </c>
      <c r="C4" s="4">
        <v>2.2771579927396073</v>
      </c>
      <c r="D4" s="3">
        <v>14.77</v>
      </c>
      <c r="F4" s="7" t="s">
        <v>31</v>
      </c>
      <c r="G4" s="1">
        <v>241628.16213306302</v>
      </c>
      <c r="H4" s="2">
        <v>20731</v>
      </c>
      <c r="K4" s="7" t="s">
        <v>38</v>
      </c>
      <c r="L4" s="1">
        <v>6.0178393777286159</v>
      </c>
      <c r="M4" s="2">
        <v>5.115384615384615</v>
      </c>
      <c r="P4" s="7" t="s">
        <v>42</v>
      </c>
      <c r="Q4" s="2">
        <v>2.6654083441491982</v>
      </c>
      <c r="R4" s="1">
        <v>44.768243011189483</v>
      </c>
      <c r="S4" s="2">
        <v>18</v>
      </c>
      <c r="U4" t="s">
        <v>51</v>
      </c>
      <c r="V4" t="s">
        <v>46</v>
      </c>
      <c r="W4" s="2">
        <v>6880.7621608821901</v>
      </c>
      <c r="X4" s="2">
        <v>426</v>
      </c>
    </row>
    <row r="5" spans="1:24" x14ac:dyDescent="0.3">
      <c r="F5" s="7" t="s">
        <v>22</v>
      </c>
      <c r="G5" s="1">
        <v>174455.39060546222</v>
      </c>
      <c r="H5" s="2">
        <v>13611</v>
      </c>
      <c r="K5" s="7" t="s">
        <v>45</v>
      </c>
      <c r="L5" s="1">
        <v>5.4690979361028562</v>
      </c>
      <c r="M5" s="2">
        <v>6.5714285714285712</v>
      </c>
      <c r="P5" s="7" t="s">
        <v>50</v>
      </c>
      <c r="Q5" s="2">
        <v>2.3373974005913354</v>
      </c>
      <c r="R5" s="1">
        <v>62.709726881875199</v>
      </c>
      <c r="S5" s="2">
        <v>18</v>
      </c>
      <c r="V5" t="s">
        <v>30</v>
      </c>
      <c r="W5" s="2">
        <v>2343.1258475145869</v>
      </c>
      <c r="X5" s="2">
        <v>290</v>
      </c>
    </row>
    <row r="6" spans="1:24" x14ac:dyDescent="0.3">
      <c r="F6" s="7" t="s">
        <v>55</v>
      </c>
      <c r="G6" s="1">
        <v>161521.26599948306</v>
      </c>
      <c r="H6" s="2">
        <v>11757</v>
      </c>
      <c r="K6" s="7" t="s">
        <v>29</v>
      </c>
      <c r="L6" s="1">
        <v>5.542115390045792</v>
      </c>
      <c r="M6" s="2">
        <v>4.7241379310344831</v>
      </c>
      <c r="P6" s="7" t="s">
        <v>26</v>
      </c>
      <c r="Q6" s="2">
        <v>2.4657860307644657</v>
      </c>
      <c r="R6" s="1">
        <v>43.634121313780923</v>
      </c>
      <c r="S6" s="2">
        <v>15</v>
      </c>
      <c r="V6" t="s">
        <v>39</v>
      </c>
      <c r="W6" s="2">
        <v>1336.833429901307</v>
      </c>
      <c r="X6" s="2">
        <v>53</v>
      </c>
    </row>
    <row r="7" spans="1:24" x14ac:dyDescent="0.3">
      <c r="F7" s="7" t="s">
        <v>164</v>
      </c>
      <c r="G7" s="1">
        <v>577604.81873800838</v>
      </c>
      <c r="H7" s="2">
        <v>46099</v>
      </c>
      <c r="K7" s="7" t="s">
        <v>54</v>
      </c>
      <c r="L7" s="1">
        <v>4.9702938152238989</v>
      </c>
      <c r="M7" s="2">
        <v>7.117647058823529</v>
      </c>
      <c r="P7" s="7" t="s">
        <v>59</v>
      </c>
      <c r="Q7" s="2">
        <v>2.3627501450718764</v>
      </c>
      <c r="R7" s="1">
        <v>41.622514186334527</v>
      </c>
      <c r="S7" s="2">
        <v>22</v>
      </c>
      <c r="U7" t="s">
        <v>171</v>
      </c>
      <c r="W7" s="2">
        <v>10560.721438298086</v>
      </c>
      <c r="X7" s="2">
        <v>769</v>
      </c>
    </row>
    <row r="8" spans="1:24" x14ac:dyDescent="0.3">
      <c r="K8" s="7" t="s">
        <v>164</v>
      </c>
      <c r="L8" s="1">
        <v>5.548149072019581</v>
      </c>
      <c r="M8" s="2">
        <v>5.75</v>
      </c>
      <c r="P8" s="7" t="s">
        <v>37</v>
      </c>
      <c r="Q8" s="2">
        <v>1.8036297116882485</v>
      </c>
      <c r="R8" s="1">
        <v>45.254027195027781</v>
      </c>
      <c r="S8" s="2">
        <v>27</v>
      </c>
      <c r="U8" t="s">
        <v>60</v>
      </c>
      <c r="V8" t="s">
        <v>46</v>
      </c>
      <c r="W8" s="2">
        <v>3714.280873244506</v>
      </c>
      <c r="X8" s="2">
        <v>344</v>
      </c>
    </row>
    <row r="9" spans="1:24" x14ac:dyDescent="0.3">
      <c r="P9" s="7" t="s">
        <v>164</v>
      </c>
      <c r="Q9" s="2">
        <v>2.2771579927396073</v>
      </c>
      <c r="R9" s="1">
        <v>47.266693241469866</v>
      </c>
      <c r="S9" s="2">
        <v>100</v>
      </c>
      <c r="V9" t="s">
        <v>30</v>
      </c>
      <c r="W9" s="2">
        <v>5566.6205275221746</v>
      </c>
      <c r="X9" s="2">
        <v>479</v>
      </c>
    </row>
    <row r="10" spans="1:24" x14ac:dyDescent="0.3">
      <c r="V10" t="s">
        <v>39</v>
      </c>
      <c r="W10" s="2">
        <v>3154.111791239548</v>
      </c>
      <c r="X10" s="2">
        <v>286</v>
      </c>
    </row>
    <row r="11" spans="1:24" x14ac:dyDescent="0.3">
      <c r="U11" t="s">
        <v>172</v>
      </c>
      <c r="W11" s="2">
        <v>12435.013192006229</v>
      </c>
      <c r="X11" s="2">
        <v>1109</v>
      </c>
    </row>
    <row r="12" spans="1:24" x14ac:dyDescent="0.3">
      <c r="U12" t="s">
        <v>48</v>
      </c>
      <c r="V12" t="s">
        <v>46</v>
      </c>
      <c r="W12" s="2">
        <v>2694.5279652368768</v>
      </c>
      <c r="X12" s="2">
        <v>189</v>
      </c>
    </row>
    <row r="13" spans="1:24" x14ac:dyDescent="0.3">
      <c r="V13" t="s">
        <v>30</v>
      </c>
      <c r="W13" s="2">
        <v>3800.5856620281666</v>
      </c>
      <c r="X13" s="2">
        <v>356</v>
      </c>
    </row>
    <row r="14" spans="1:24" x14ac:dyDescent="0.3">
      <c r="V14" t="s">
        <v>39</v>
      </c>
      <c r="W14" s="2">
        <v>1728.454530159692</v>
      </c>
      <c r="X14" s="2">
        <v>188</v>
      </c>
    </row>
    <row r="15" spans="1:24" x14ac:dyDescent="0.3">
      <c r="U15" t="s">
        <v>173</v>
      </c>
      <c r="W15" s="2">
        <v>8223.5681574247355</v>
      </c>
      <c r="X15" s="2">
        <v>733</v>
      </c>
    </row>
    <row r="16" spans="1:24" x14ac:dyDescent="0.3">
      <c r="U16" t="s">
        <v>43</v>
      </c>
      <c r="V16" t="s">
        <v>46</v>
      </c>
      <c r="W16" s="2">
        <v>4440.6433075530485</v>
      </c>
      <c r="X16" s="2">
        <v>535</v>
      </c>
    </row>
    <row r="17" spans="21:24" x14ac:dyDescent="0.3">
      <c r="V17" t="s">
        <v>30</v>
      </c>
      <c r="W17" s="2">
        <v>6199.5896424006287</v>
      </c>
      <c r="X17" s="2">
        <v>541</v>
      </c>
    </row>
    <row r="18" spans="21:24" x14ac:dyDescent="0.3">
      <c r="V18" t="s">
        <v>39</v>
      </c>
      <c r="W18" s="2">
        <v>1641.512087745851</v>
      </c>
      <c r="X18" s="2">
        <v>152</v>
      </c>
    </row>
    <row r="19" spans="21:24" x14ac:dyDescent="0.3">
      <c r="U19" t="s">
        <v>174</v>
      </c>
      <c r="W19" s="2">
        <v>12281.745037699528</v>
      </c>
      <c r="X19" s="2">
        <v>1228</v>
      </c>
    </row>
    <row r="20" spans="21:24" x14ac:dyDescent="0.3">
      <c r="U20" t="s">
        <v>27</v>
      </c>
      <c r="V20" t="s">
        <v>46</v>
      </c>
      <c r="W20" s="2">
        <v>3145.5601874365425</v>
      </c>
      <c r="X20" s="2">
        <v>350</v>
      </c>
    </row>
    <row r="21" spans="21:24" x14ac:dyDescent="0.3">
      <c r="V21" t="s">
        <v>30</v>
      </c>
      <c r="W21" s="2">
        <v>4129.4623461357778</v>
      </c>
      <c r="X21" s="2">
        <v>400</v>
      </c>
    </row>
    <row r="22" spans="21:24" x14ac:dyDescent="0.3">
      <c r="V22" t="s">
        <v>39</v>
      </c>
      <c r="W22" s="2">
        <v>2148.5078568131607</v>
      </c>
      <c r="X22" s="2">
        <v>333</v>
      </c>
    </row>
    <row r="23" spans="21:24" x14ac:dyDescent="0.3">
      <c r="U23" t="s">
        <v>175</v>
      </c>
      <c r="W23" s="2">
        <v>9423.530390385482</v>
      </c>
      <c r="X23" s="2">
        <v>1083</v>
      </c>
    </row>
    <row r="24" spans="21:24" x14ac:dyDescent="0.3">
      <c r="U24" t="s">
        <v>164</v>
      </c>
      <c r="W24" s="2">
        <v>52924.578215814065</v>
      </c>
      <c r="X24" s="2">
        <v>4922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tbl_supply chain</vt:lpstr>
      <vt:lpstr>raw data</vt:lpstr>
      <vt:lpstr>dashborad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 singh</dc:creator>
  <cp:lastModifiedBy>Punit singh</cp:lastModifiedBy>
  <dcterms:created xsi:type="dcterms:W3CDTF">2026-09-08T13:15:06Z</dcterms:created>
  <dcterms:modified xsi:type="dcterms:W3CDTF">2026-09-09T07:24:32Z</dcterms:modified>
</cp:coreProperties>
</file>